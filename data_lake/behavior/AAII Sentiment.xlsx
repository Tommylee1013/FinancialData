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AEFEB228-1BEB-C34A-8A66-0E248E659A4E}" xr6:coauthVersionLast="47" xr6:coauthVersionMax="47" xr10:uidLastSave="{00000000-0000-0000-0000-000000000000}"/>
  <bookViews>
    <workbookView xWindow="0" yWindow="780" windowWidth="36000" windowHeight="20760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9" i="1" l="1"/>
  <c r="D2040" i="1"/>
  <c r="D2038" i="1"/>
  <c r="D466" i="4"/>
  <c r="D2037" i="1"/>
  <c r="D2036" i="1"/>
  <c r="D2035" i="1"/>
  <c r="D2034" i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<sst xmlns="http://schemas.openxmlformats.org/spreadsheetml/2006/main" count="23" uniqueCount="23">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</sst>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  <c:pt idx="464">
                  <c:v>0.1419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  <c:pt idx="464">
                  <c:v>0.70379999999999998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  <c:pt idx="464">
                  <c:v>0.15429999999999999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40"/>
  <sheetViews>
    <sheetView tabSelected="1" workbookViewId="0">
      <pane xSplit="7" ySplit="3" topLeftCell="H2022" activePane="bottomRight" state="frozen"/>
      <selection pane="topRight" activeCell="E1" sqref="E1"/>
      <selection pane="bottomLeft" activeCell="A4" sqref="A4"/>
      <selection pane="bottomRight" activeCell="F2040" sqref="F2040"/>
    </sheetView>
  </sheetViews>
  <sheetFormatPr baseColWidth="10" defaultColWidth="11.33203125" defaultRowHeight="15" x14ac:dyDescent="0.2"/>
  <cols>
    <col min="1" max="1" width="10.1640625" style="10" bestFit="1" customWidth="1"/>
    <col min="2" max="2" width="11" style="7" bestFit="1" customWidth="1"/>
    <col min="3" max="3" width="9.83203125" style="8" bestFit="1" customWidth="1"/>
    <col min="4" max="4" width="8.6640625" style="7" bestFit="1" customWidth="1"/>
    <col min="5" max="5" width="8" style="9" bestFit="1" customWidth="1"/>
    <col min="6" max="6" width="8.33203125" style="9" bestFit="1" customWidth="1"/>
    <col min="7" max="7" width="8.1640625" style="9" bestFit="1" customWidth="1"/>
    <col min="8" max="16384" width="11.33203125" style="6"/>
  </cols>
  <sheetData>
    <row r="1" spans="1:7" x14ac:dyDescent="0.2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2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2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2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2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2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2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2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2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2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2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2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2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2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2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2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2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2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2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2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2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2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2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2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2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2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2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2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2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2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2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2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2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2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2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2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2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2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2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2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2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2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2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2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2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2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2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2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2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2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2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2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2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2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2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2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2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2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2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2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2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2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2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2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2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2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2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2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2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2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2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2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2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2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2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2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2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2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2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2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2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2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2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2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2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2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2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2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2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2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2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2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2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2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2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2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2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2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2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2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2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2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2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2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2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2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2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2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2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2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2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2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2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2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2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2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2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2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2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2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2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2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2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2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2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2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2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2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2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2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2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2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2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2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2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2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2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2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2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2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2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2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2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2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2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2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2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2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2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2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2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2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2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2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2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2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2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2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2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2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2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2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2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2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2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2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2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2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2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2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2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2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2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2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2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2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2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2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2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2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2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2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2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2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2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2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2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2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2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2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2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2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2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2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2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2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2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2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2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2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2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2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2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2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2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2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2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2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2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2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2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2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2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2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2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2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2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2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2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2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2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2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2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2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2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2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2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2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2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2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2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2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2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2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2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2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2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2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2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2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2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2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2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2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2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2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2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2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2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2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2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2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2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2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2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2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2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2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2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2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2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2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2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2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2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2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2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2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2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2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2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2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2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2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2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2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2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2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2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2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2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2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2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2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2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2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2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2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2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2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2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2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2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2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2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2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2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2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2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2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2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2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2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2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2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2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2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2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2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2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2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2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2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2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2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2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2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2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2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2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2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2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2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2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2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2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2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2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2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2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2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2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2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2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2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2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2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2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2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2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2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2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2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2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2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2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2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2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2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2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2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2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2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2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2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2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2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2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2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2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2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2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2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2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2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2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2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2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2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2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2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2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2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2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2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2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2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2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2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2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2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2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2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2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2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2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2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2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2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2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2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2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2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2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2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2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2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2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2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2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2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2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2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2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2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2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2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2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2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2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2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2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2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2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2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2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2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2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2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2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2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2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2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2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2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2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2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2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2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2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2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2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2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2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2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2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2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2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2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2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2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2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2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2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2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2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2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2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2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2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2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2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2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2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2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2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2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2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2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2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2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2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2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2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2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2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2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2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2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2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2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2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2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2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2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2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2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2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2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2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2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2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2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2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2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2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2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2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2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2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2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2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2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2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2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2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2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2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2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2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2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2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2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2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2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2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2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2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2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2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2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2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2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2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2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2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2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2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2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2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2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2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2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2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2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2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2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2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2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2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2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2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2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2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2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2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2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2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2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2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2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2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2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2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2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2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2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2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2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2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2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2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2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2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2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2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2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2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2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2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2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2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2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2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2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2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2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2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2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2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2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2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2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2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2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2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2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2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2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2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2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2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2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2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2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2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2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2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2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2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2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2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2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2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2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2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2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2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2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2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2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2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2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2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2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2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2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2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2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2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2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2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2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2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2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2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2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2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2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2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2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2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2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2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2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2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2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2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2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2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2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2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2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2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2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2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2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2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2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2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2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2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2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2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2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2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2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2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2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2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2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2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2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2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2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2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2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2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2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2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2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2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2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2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2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2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2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2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2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2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2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2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2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2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2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2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2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2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2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2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2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2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2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2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2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2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2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2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2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2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2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2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2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2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2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2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2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2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2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2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2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2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2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2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2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2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2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2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2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2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2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2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2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2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2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2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2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2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2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2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2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2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2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2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2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2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2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2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2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2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2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2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2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2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2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2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2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2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2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2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2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2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2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2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2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2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2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2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2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2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2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2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2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2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2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2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2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2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2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2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2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2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2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2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2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2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2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2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2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2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2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2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2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2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2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2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2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2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2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2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2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2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2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2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2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2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2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2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2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2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2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2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2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2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2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2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2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2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2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2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2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2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2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2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2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2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2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2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2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2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2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2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2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2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2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2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2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2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2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2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2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2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2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2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2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2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2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2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2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2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2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2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2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2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2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2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2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2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2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2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2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2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2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2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2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2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2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2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2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2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2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2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2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2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2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2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2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2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2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2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2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2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2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2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2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2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2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2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2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2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2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2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2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2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2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2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2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2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2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2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2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2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2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2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2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2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2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2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2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2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2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2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2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2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2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2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2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2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2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2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2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2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2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2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2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2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2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2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2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2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2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2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2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2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2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2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2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2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2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2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2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2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2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2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2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2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2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2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2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2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2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2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2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2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2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2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2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2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2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2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2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2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2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2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2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2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2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2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2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2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2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2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2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2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2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2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2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2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2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2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2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2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2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2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2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2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2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2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2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2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2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2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2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2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2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2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2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2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2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2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2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2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2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2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2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2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2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2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2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2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2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2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2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2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2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2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2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2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2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2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2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2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2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2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2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2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2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2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2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2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2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2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2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2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2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2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2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2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2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2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2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2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2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2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2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2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2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2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2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2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2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2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2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2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2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2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2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2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2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2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2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2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2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2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2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2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2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2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2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2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2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2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2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2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2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2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2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2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2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2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2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2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2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2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2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2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2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2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2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2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2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2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2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2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2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2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2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2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2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2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2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2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2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2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2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2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2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2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2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2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2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2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2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2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2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2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2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2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2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2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2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2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2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2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2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2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2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2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2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2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2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2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2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2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2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2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2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2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2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2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2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2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2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2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2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2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2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2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2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2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2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2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2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2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2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2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2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2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2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2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2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2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2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2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2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2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2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2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2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2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2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2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2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2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2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2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2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2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2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2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2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2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2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2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2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2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2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2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2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2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2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2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2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2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2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2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2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2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2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2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2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2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2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2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2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2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2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2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2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2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2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2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2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2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2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2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2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2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2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2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2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2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2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2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2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2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2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2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2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2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2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2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2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2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2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2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2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2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2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2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2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2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2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2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2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2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2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2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2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2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2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2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2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2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2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2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2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2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2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2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2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2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2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2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2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2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2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2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2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2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2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2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2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2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2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2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2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2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2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2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2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2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2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2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2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2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2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2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2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2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2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2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2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2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2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2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2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2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2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2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2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2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2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2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2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2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2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2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2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2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2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2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2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2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2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2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2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2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2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2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2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2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2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2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2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2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2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2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2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2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2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2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2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2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2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2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2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2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2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2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2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2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2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2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2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2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2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2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2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2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2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2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2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2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2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2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2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2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2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2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2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2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2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2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2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2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2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2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2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2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2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2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2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2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2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2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2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2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2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2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2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2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2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2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2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2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2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2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2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2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2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2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2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2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2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2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2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2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2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2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2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2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2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2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2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2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2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2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2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2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2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2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2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2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2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2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2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2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2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2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2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2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2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2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2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2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2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2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2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2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2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2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2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2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2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2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2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2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2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2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2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2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2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2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2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2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2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2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2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2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2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2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2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2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2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2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2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2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2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2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2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2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2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2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2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2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2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2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2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2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2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2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2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2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2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2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2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2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2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2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2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2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2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2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2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2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2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2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2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2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2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2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2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2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2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2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2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2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2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2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2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2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2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2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2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2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2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2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2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2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2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2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2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2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2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2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2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2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2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2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2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2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2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2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2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2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2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2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2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2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2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2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2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2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2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2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2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2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2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2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2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2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2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2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2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2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2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2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2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2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2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2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2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2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2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2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2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2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2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2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2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2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2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2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2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2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2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2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2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2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2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2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2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2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2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2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2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2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2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2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2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2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2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2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2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2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2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2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2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2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2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2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2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2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2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2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2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2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2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2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2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2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2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2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2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2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2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2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2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2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2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2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2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2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2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2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2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2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2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2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2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2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2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2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2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2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2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2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2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2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2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2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2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2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2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2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2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2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2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2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2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2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2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2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2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2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2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2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2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2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2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2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2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2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2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2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2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2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2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2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2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2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2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2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2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2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2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2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2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2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2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2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2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2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2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2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2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2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2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2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2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2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2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2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2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2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2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2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2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2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2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2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2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2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2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2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2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2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2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2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2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2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2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2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2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2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2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2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2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2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2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2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2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2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2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2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2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2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2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2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2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2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2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2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2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2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2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2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2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2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2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2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2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2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2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2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2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2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2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2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2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2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2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2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2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2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2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2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2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2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2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2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2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2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2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2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2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2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2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2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2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2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2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2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2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2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2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2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2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2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2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2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2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2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2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2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2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2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2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2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2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2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2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2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2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2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2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2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2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2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2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2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2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2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2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2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2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2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2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2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2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2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2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2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2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2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2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2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2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2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2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2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2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2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2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2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2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2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2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2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2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2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2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2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2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2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2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2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2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2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2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2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2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2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2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2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2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2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2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2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2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2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2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2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2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2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2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2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2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2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2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2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2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2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2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2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2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2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2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2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2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2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2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2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2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2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2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2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2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2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2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2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2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2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2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2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2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2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2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2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2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2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2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2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2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2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2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2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2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2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2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2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2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2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2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2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2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2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2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2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2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2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2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2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2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2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2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2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2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2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2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2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2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2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2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2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2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2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2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2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2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2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2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2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2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2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2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2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2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2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2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2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2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2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2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2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2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2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2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2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2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2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2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2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2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2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2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2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2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2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2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2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2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2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2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2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2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2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2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2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2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2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2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2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2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2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2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2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2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2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2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2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2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2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2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2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2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2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2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2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2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2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2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2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2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2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2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2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2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2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2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2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2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2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2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2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2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2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2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2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2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2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2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2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2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2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2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2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2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2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2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2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2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2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2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2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2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2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2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2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2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2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2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2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2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2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2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2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2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2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2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2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2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2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2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2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2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2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2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2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2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2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2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2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2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2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2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2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2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2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2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2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2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2">
      <c r="A2034" s="7">
        <v>46218</v>
      </c>
      <c r="B2034" s="7">
        <v>46219</v>
      </c>
      <c r="C2034" s="8">
        <v>0.375</v>
      </c>
      <c r="D2034" s="7" t="str">
        <f t="shared" ref="D2034:D2036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  <row r="2035" spans="1:7" x14ac:dyDescent="0.2">
      <c r="A2035" s="7">
        <v>46225</v>
      </c>
      <c r="B2035" s="7">
        <v>46226</v>
      </c>
      <c r="C2035" s="8">
        <v>0.375</v>
      </c>
      <c r="D2035" s="7" t="str">
        <f t="shared" si="39"/>
        <v>UTC-4</v>
      </c>
      <c r="E2035" s="9">
        <v>0.29599999999999999</v>
      </c>
      <c r="F2035" s="9">
        <v>0.28100000000000003</v>
      </c>
      <c r="G2035" s="9">
        <v>0.42299999999999999</v>
      </c>
    </row>
    <row r="2036" spans="1:7" x14ac:dyDescent="0.2">
      <c r="A2036" s="7">
        <v>46232</v>
      </c>
      <c r="B2036" s="7">
        <v>46233</v>
      </c>
      <c r="C2036" s="8">
        <v>0.375</v>
      </c>
      <c r="D2036" s="7" t="str">
        <f t="shared" si="39"/>
        <v>UTC-4</v>
      </c>
      <c r="E2036" s="9">
        <v>0.31</v>
      </c>
      <c r="F2036" s="9">
        <v>0.26900000000000002</v>
      </c>
      <c r="G2036" s="9">
        <v>0.42099999999999999</v>
      </c>
    </row>
    <row r="2037" spans="1:7" x14ac:dyDescent="0.2">
      <c r="A2037" s="7">
        <v>46239</v>
      </c>
      <c r="B2037" s="7">
        <v>46240</v>
      </c>
      <c r="C2037" s="8">
        <v>0.375</v>
      </c>
      <c r="D2037" s="7" t="str">
        <f t="shared" ref="D2037:D2039" si="40">IF(
 AND(
  B2037 &gt;= IF(
         YEAR(B2037)&gt;=2007,
         DATE(YEAR(B2037),3,14)-WEEKDAY(DATE(YEAR(B2037),3,14),1)+1 + TIME(2,0,0),
         DATE(YEAR(B2037),4,7)-WEEKDAY(DATE(YEAR(B2037),4,7),1)+1 + TIME(2,0,0)
       ),
  B2037 &lt;  IF(
         YEAR(B2037)&gt;=2007,
         DATE(YEAR(B2037),11,7)-WEEKDAY(DATE(YEAR(B2037),11,7),1)+1 + TIME(2,0,0),
         DATE(YEAR(B2037),10,31)-WEEKDAY(DATE(YEAR(B2037),10,31),1) + TIME(2,0,0)
       )
 ),
 "UTC-4",
 "UTC-5"
)</f>
        <v>UTC-4</v>
      </c>
      <c r="E2037" s="9">
        <v>0.37</v>
      </c>
      <c r="F2037" s="9">
        <v>0.25</v>
      </c>
      <c r="G2037" s="9">
        <v>0.38</v>
      </c>
    </row>
    <row r="2038" spans="1:7" x14ac:dyDescent="0.2">
      <c r="A2038" s="7">
        <v>46246</v>
      </c>
      <c r="B2038" s="7">
        <v>46247</v>
      </c>
      <c r="C2038" s="8">
        <v>0.375</v>
      </c>
      <c r="D2038" s="7" t="str">
        <f t="shared" si="40"/>
        <v>UTC-4</v>
      </c>
      <c r="E2038" s="9">
        <v>0.34699999999999998</v>
      </c>
      <c r="F2038" s="9">
        <v>0.27400000000000002</v>
      </c>
      <c r="G2038" s="9">
        <v>0.379</v>
      </c>
    </row>
    <row r="2039" spans="1:7" x14ac:dyDescent="0.2">
      <c r="A2039" s="7">
        <v>46253</v>
      </c>
      <c r="B2039" s="7">
        <v>46254</v>
      </c>
      <c r="C2039" s="8">
        <v>0.375</v>
      </c>
      <c r="D2039" s="7" t="str">
        <f t="shared" si="40"/>
        <v>UTC-4</v>
      </c>
    </row>
    <row r="2040" spans="1:7" x14ac:dyDescent="0.2">
      <c r="A2040" s="7">
        <v>46260</v>
      </c>
      <c r="B2040" s="7">
        <v>46261</v>
      </c>
      <c r="C2040" s="8">
        <v>0.375</v>
      </c>
      <c r="D2040" s="7" t="str">
        <f t="shared" ref="D2040" si="41">IF(
 AND(
  B2040 &gt;= IF(
         YEAR(B2040)&gt;=2007,
         DATE(YEAR(B2040),3,14)-WEEKDAY(DATE(YEAR(B2040),3,14),1)+1 + TIME(2,0,0),
         DATE(YEAR(B2040),4,7)-WEEKDAY(DATE(YEAR(B2040),4,7),1)+1 + TIME(2,0,0)
       ),
  B2040 &lt;  IF(
         YEAR(B2040)&gt;=2007,
         DATE(YEAR(B2040),11,7)-WEEKDAY(DATE(YEAR(B2040),11,7),1)+1 + TIME(2,0,0),
         DATE(YEAR(B2040),10,31)-WEEKDAY(DATE(YEAR(B2040),10,31),1) + TIME(2,0,0)
       )
 ),
 "UTC-4",
 "UTC-5"
)</f>
        <v>UTC-4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workbookViewId="0">
      <pane xSplit="11" ySplit="4" topLeftCell="L451" activePane="bottomRight" state="frozen"/>
      <selection pane="topRight" activeCell="L1" sqref="L1"/>
      <selection pane="bottomLeft" activeCell="A5" sqref="A5"/>
      <selection pane="bottomRight" activeCell="D483" sqref="D483"/>
    </sheetView>
  </sheetViews>
  <sheetFormatPr baseColWidth="10" defaultColWidth="8.83203125" defaultRowHeight="15" x14ac:dyDescent="0.2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3203125" style="13" bestFit="1" customWidth="1"/>
    <col min="6" max="6" width="8.1640625" style="13" bestFit="1" customWidth="1"/>
    <col min="7" max="7" width="11" style="13" bestFit="1" customWidth="1"/>
    <col min="8" max="8" width="9.33203125" style="13" customWidth="1"/>
    <col min="9" max="9" width="9.6640625" style="13" customWidth="1"/>
    <col min="10" max="10" width="11.83203125" style="13" bestFit="1" customWidth="1"/>
    <col min="11" max="11" width="12.6640625" style="13" bestFit="1" customWidth="1"/>
    <col min="12" max="16384" width="8.83203125" style="6"/>
  </cols>
  <sheetData>
    <row r="1" spans="1:14" x14ac:dyDescent="0.2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2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2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2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2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2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2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2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2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2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2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2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2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2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2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2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2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2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2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2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2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2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2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2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2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2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2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2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2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2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2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2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2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2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2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2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2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2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2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2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2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2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2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2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2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2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2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2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2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2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2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2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2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2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2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2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2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2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2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2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2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2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2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2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2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2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2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2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2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2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2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2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2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2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2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2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2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2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2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2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2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2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2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2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2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2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2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2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2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2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2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2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2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2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2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2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2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2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2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2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2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2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2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2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2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2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2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2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2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2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2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2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2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2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2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2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2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2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2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2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2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2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2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2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2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2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2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2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2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2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2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2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2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2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2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2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2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2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2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2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2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2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2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2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2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2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2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2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2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2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2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2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2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2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2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2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2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2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2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2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2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2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2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2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2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2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2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2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2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2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2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2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2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2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2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2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2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2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2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2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2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2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2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2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2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2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2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2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2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2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2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2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2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2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2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2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2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2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2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2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2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2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2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2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2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2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2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2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2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2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2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2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2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2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2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2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2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2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2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2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2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2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2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2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2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2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2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2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2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2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2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2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2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2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2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2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2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2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2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2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2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2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2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2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2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2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2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2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2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2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2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2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2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2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2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2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2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2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2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2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2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2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2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2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2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2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2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2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2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2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2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2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2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2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2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2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2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2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2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2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2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2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2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2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2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2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2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2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2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2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2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2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2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2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2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2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2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2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2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2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2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2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2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2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2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2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2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2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2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2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2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2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2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2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2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2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2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2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2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2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2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2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2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2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2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2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2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2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2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2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2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2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2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2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2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2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2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2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2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2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2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2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2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2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2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2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2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2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2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2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2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2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2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2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2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2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2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2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2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2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2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2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2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2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2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2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2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2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2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2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2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2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2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2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2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2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2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2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2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2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2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2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2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2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2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2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2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2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2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2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2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2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2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2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2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2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2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2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2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2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2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2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2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2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2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2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2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2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2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2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2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2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2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2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2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2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2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2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2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2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2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2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2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2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2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2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2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2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2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2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2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2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2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2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2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2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2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2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2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2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2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2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2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2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2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2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2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2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2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2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2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2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2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2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2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2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2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2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2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2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2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2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2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2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2">
      <c r="A465" s="7">
        <v>46174</v>
      </c>
      <c r="B465" s="7">
        <v>46204</v>
      </c>
      <c r="C465" s="8">
        <v>0.8125</v>
      </c>
      <c r="D465" s="12" t="str">
        <f t="shared" ref="D465:D466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2">
      <c r="A466" s="7">
        <v>46204</v>
      </c>
      <c r="B466" s="7">
        <v>46235</v>
      </c>
      <c r="C466" s="8">
        <v>0.8125</v>
      </c>
      <c r="D466" s="10" t="str">
        <f t="shared" si="8"/>
        <v>UTC-4</v>
      </c>
      <c r="E466" s="13">
        <v>0.39779999999999999</v>
      </c>
      <c r="F466" s="13">
        <v>0.30599999999999999</v>
      </c>
      <c r="G466" s="13">
        <v>0.1099</v>
      </c>
      <c r="H466" s="13">
        <v>4.4400000000000002E-2</v>
      </c>
      <c r="I466" s="13">
        <v>0.1419</v>
      </c>
      <c r="J466" s="13">
        <v>0.70379999999999998</v>
      </c>
      <c r="K466" s="13">
        <v>0.15429999999999999</v>
      </c>
      <c r="N466" s="14"/>
      <c r="O466" s="14"/>
    </row>
    <row r="467" spans="1:15" x14ac:dyDescent="0.2">
      <c r="N467" s="14"/>
      <c r="O467" s="14"/>
    </row>
    <row r="468" spans="1:15" x14ac:dyDescent="0.2">
      <c r="N468" s="14"/>
      <c r="O468" s="14"/>
    </row>
    <row r="469" spans="1:15" x14ac:dyDescent="0.2">
      <c r="N469" s="14"/>
      <c r="O469" s="14"/>
    </row>
    <row r="470" spans="1:15" x14ac:dyDescent="0.2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G25" sqref="G25"/>
    </sheetView>
  </sheetViews>
  <sheetFormatPr baseColWidth="10" defaultColWidth="8.83203125" defaultRowHeight="16" x14ac:dyDescent="0.2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3" sqref="C3"/>
    </sheetView>
  </sheetViews>
  <sheetFormatPr baseColWidth="10" defaultColWidth="11.33203125" defaultRowHeight="16" x14ac:dyDescent="0.2"/>
  <sheetData>
    <row r="2" spans="2:3" x14ac:dyDescent="0.2">
      <c r="B2" t="s">
        <v>0</v>
      </c>
      <c r="C2" s="1" t="s">
        <v>5</v>
      </c>
    </row>
    <row r="3" spans="2:3" x14ac:dyDescent="0.2">
      <c r="C3" s="1" t="s">
        <v>12</v>
      </c>
    </row>
    <row r="4" spans="2:3" x14ac:dyDescent="0.2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2026-08-27T23:34:16Z</dcterms:modified>
</cp:coreProperties>
</file>