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CD6A069E-1B22-DB45-8EE5-32B309C6D182}" xr6:coauthVersionLast="47" xr6:coauthVersionMax="47" xr10:uidLastSave="{00000000-0000-0000-0000-000000000000}"/>
  <bookViews>
    <workbookView xWindow="15020" yWindow="780" windowWidth="20980" windowHeight="2068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5" i="1" l="1"/>
  <c r="D1054" i="1"/>
  <c r="D1053" i="1"/>
  <c r="D1052" i="1"/>
  <c r="D1051" i="1"/>
  <c r="D1050" i="1"/>
  <c r="D1049" i="1"/>
  <c r="L1048" i="1"/>
  <c r="D1048" i="1"/>
  <c r="L1047" i="1"/>
  <c r="D1047" i="1"/>
  <c r="L1046" i="1"/>
  <c r="D1046" i="1"/>
  <c r="L1045" i="1"/>
  <c r="D1045" i="1"/>
  <c r="L1044" i="1"/>
  <c r="D1044" i="1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<sst xmlns="http://schemas.openxmlformats.org/spreadsheetml/2006/main" count="56" uniqueCount="42">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</sst>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  <c:pt idx="1052">
                  <c:v>46275</c:v>
                </c:pt>
                <c:pt idx="1053">
                  <c:v>46282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82.5</c:v>
                </c:pt>
                <c:pt idx="1048">
                  <c:v>95.5</c:v>
                </c:pt>
                <c:pt idx="1049">
                  <c:v>94</c:v>
                </c:pt>
                <c:pt idx="1050">
                  <c:v>102.66</c:v>
                </c:pt>
                <c:pt idx="1051">
                  <c:v>85.61</c:v>
                </c:pt>
                <c:pt idx="1052">
                  <c:v>87.19</c:v>
                </c:pt>
                <c:pt idx="1053">
                  <c:v>71.92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  <c:pt idx="1052">
                  <c:v>46275</c:v>
                </c:pt>
                <c:pt idx="1053">
                  <c:v>46282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5"/>
  <sheetViews>
    <sheetView tabSelected="1" zoomScaleNormal="100" workbookViewId="0">
      <pane xSplit="11" ySplit="2" topLeftCell="L1016" activePane="bottomRight" state="frozen"/>
      <selection pane="topRight" activeCell="J1" sqref="J1"/>
      <selection pane="bottomLeft" activeCell="A5" sqref="A5"/>
      <selection pane="bottomRight" activeCell="G1052" sqref="G1052"/>
    </sheetView>
  </sheetViews>
  <sheetFormatPr baseColWidth="10" defaultColWidth="8.83203125" defaultRowHeight="15" x14ac:dyDescent="0.2"/>
  <cols>
    <col min="1" max="1" width="10.1640625" style="5" bestFit="1" customWidth="1"/>
    <col min="2" max="2" width="12.1640625" style="5" bestFit="1" customWidth="1"/>
    <col min="3" max="3" width="10.83203125" style="6" bestFit="1" customWidth="1"/>
    <col min="4" max="4" width="9.1640625" style="5" bestFit="1" customWidth="1"/>
    <col min="5" max="5" width="10.33203125" style="7" bestFit="1" customWidth="1"/>
    <col min="6" max="6" width="10.1640625" style="8" bestFit="1" customWidth="1"/>
    <col min="7" max="7" width="10.1640625" style="7" bestFit="1" customWidth="1"/>
    <col min="8" max="8" width="10.6640625" style="9" bestFit="1" customWidth="1"/>
    <col min="9" max="9" width="10.1640625" style="9" bestFit="1" customWidth="1"/>
    <col min="10" max="10" width="10.5" style="9" bestFit="1" customWidth="1"/>
    <col min="11" max="11" width="10.1640625" style="7" bestFit="1" customWidth="1"/>
    <col min="12" max="12" width="11.6640625" style="10" bestFit="1" customWidth="1"/>
    <col min="13" max="16384" width="8.83203125" style="11"/>
  </cols>
  <sheetData>
    <row r="1" spans="1:12" s="4" customFormat="1" x14ac:dyDescent="0.2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2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2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2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2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2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2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2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2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2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2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2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2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2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2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2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2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2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2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2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2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2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2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2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2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2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2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2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2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2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2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2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2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2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2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2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2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2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2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2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2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2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2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2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2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2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2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2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2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2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2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2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2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2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2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2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2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2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2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2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2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2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2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2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2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2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2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2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2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2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2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2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2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2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2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2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2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2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2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2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2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2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2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2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2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2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2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2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2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2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2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2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2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2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2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2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2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2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2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2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2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2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2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2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2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2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2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2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2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2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2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2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2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2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2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2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2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2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2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2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2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2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2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2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2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2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2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2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2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2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2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2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2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2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2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2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2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2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2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2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2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2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2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2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2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2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2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2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2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2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2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2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2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2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2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2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2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2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2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2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2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2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2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2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2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2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2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2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2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2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2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2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2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2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2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2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2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2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2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2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2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2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2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2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2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2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2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2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2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2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2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2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2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2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2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2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2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2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2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2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2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2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2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2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2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2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2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2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2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2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2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2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2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2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2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2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2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2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2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2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2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2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2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2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2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2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2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2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2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2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2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2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2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2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2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2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2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2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2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2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2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2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2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2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2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2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2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2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2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2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2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2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2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2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2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2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2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2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2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2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2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2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2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2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2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2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2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2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2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2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2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2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2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2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2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2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2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2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2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2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2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2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2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2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2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2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2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2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2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2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2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2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2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2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2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2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2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2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2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2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2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2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2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2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2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2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2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2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2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2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2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2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2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2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2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2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2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2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2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2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2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2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2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2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2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2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2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2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2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2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2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2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2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2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2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2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2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2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2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2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2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2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2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2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2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2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2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2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2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2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2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2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2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2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2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2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2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2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2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2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2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2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2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2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2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2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2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2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2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2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2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2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2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2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2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2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2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2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2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2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2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2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2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2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2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2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2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2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2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2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2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2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2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2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2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2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2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2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2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2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2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2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2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2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2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2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2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2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2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2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2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2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2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2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2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2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2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2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2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2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2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2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2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2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2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2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2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2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2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2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2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2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2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2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2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2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2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2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2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2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2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2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2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2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2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2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2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2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2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2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2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2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2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2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2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2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2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2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2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2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2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2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2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2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2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2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2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2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2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2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2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2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2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2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2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2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2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2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2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2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2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2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2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2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2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2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2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2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2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2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2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2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2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2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2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2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2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2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2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2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2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2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2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2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2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2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2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2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2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2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2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2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2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2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2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2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2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2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2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2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2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2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2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2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2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2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2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2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2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2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2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2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2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2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2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2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2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2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2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2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2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2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2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2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2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2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2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2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2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2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2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2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2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2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2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2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2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2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2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2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2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2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2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2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2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2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2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2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2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2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2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2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2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2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2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2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2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2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2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2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2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2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2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2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2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2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2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2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2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2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2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2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2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2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2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2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2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2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2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2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2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2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2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2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2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2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2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2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2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2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2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2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2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2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2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2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2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2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2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2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2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2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2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2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2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2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2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2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2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2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2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2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2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2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2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2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2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2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2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2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2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2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2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2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2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2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2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2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2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2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2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2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2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2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2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2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2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2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2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2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2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2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2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2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2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2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2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2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2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2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2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2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2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2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2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2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2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2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2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2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2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2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2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2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2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2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2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2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2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2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2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2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2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2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2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2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2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2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2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2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2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2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2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2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2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2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2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2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2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2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2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2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2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2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2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2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2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2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2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2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2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2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2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2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2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2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2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2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2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2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2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2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2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2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2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2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2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2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2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2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2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2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2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2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2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2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2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2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2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2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2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2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2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2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2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2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2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2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2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2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2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2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2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2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2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2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2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2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2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2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2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2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2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2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2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2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2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2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2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2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2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2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2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2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2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2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2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2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2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2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2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2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2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2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2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2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2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2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2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2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2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2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2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2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2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2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2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2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2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2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2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2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2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2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2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2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2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2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2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2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2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2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2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2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2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2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2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2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2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2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2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2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2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2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2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2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2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2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2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2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2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2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2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2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2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2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2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2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2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2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2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2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2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2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2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2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2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2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2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2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2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2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2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2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2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2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2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2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2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2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2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2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2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2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2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2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2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2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2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2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2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2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2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2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2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2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2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2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2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2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2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2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2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2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2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2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2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2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2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2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2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2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2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2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2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2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2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2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2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2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2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2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2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2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2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2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2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2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2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2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2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2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2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2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2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2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2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2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2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2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2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2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2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2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2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2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2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2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2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2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2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2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2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2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2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2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2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2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2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2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2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2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2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2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2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2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2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2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2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2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2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2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2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2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2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2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2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2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2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2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2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2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2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2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2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2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2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2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2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2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2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2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2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2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2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2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2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2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2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2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2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2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2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2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2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2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2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2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2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2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2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2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2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2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2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2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2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2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2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2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2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2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2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2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2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2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2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2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2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2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2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2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2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2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2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2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2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2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2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2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2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2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82.5</v>
      </c>
    </row>
    <row r="1050" spans="1:12" x14ac:dyDescent="0.2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  <c r="E1050" s="7">
        <v>95.5</v>
      </c>
    </row>
    <row r="1051" spans="1:12" x14ac:dyDescent="0.2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  <c r="E1051" s="7">
        <v>94</v>
      </c>
    </row>
    <row r="1052" spans="1:12" x14ac:dyDescent="0.2">
      <c r="A1052" s="5">
        <v>46260</v>
      </c>
      <c r="B1052" s="5">
        <v>46261</v>
      </c>
      <c r="C1052" s="6">
        <v>0.41666666666680002</v>
      </c>
      <c r="D1052" s="5" t="str">
        <f t="shared" ref="D1052:D1054" si="42">IF(
 AND(
  B1052 &gt;= IF(
         YEAR(B1052)&gt;=2007,
         DATE(YEAR(B1052),3,14)-WEEKDAY(DATE(YEAR(B1052),3,14),1)+1 + TIME(2,0,0),
         DATE(YEAR(B1052),4,7)-WEEKDAY(DATE(YEAR(B1052),4,7),1)+1 + TIME(2,0,0)
       ),
  B1052 &lt;  IF(
         YEAR(B1052)&gt;=2007,
         DATE(YEAR(B1052),11,7)-WEEKDAY(DATE(YEAR(B1052),11,7),1)+1 + TIME(2,0,0),
         DATE(YEAR(B1052),10,31)-WEEKDAY(DATE(YEAR(B1052),10,31),1) + TIME(2,0,0)
       )
 ),
 "UTC-4",
 "UTC-5"
)</f>
        <v>UTC-4</v>
      </c>
      <c r="E1052" s="7">
        <v>102.66</v>
      </c>
    </row>
    <row r="1053" spans="1:12" x14ac:dyDescent="0.2">
      <c r="A1053" s="5">
        <v>46267</v>
      </c>
      <c r="B1053" s="5">
        <v>46268</v>
      </c>
      <c r="C1053" s="6">
        <v>0.41666666666680602</v>
      </c>
      <c r="D1053" s="5" t="str">
        <f t="shared" si="42"/>
        <v>UTC-4</v>
      </c>
      <c r="E1053" s="7">
        <v>85.61</v>
      </c>
    </row>
    <row r="1054" spans="1:12" x14ac:dyDescent="0.2">
      <c r="A1054" s="5">
        <v>46274</v>
      </c>
      <c r="B1054" s="5">
        <v>46275</v>
      </c>
      <c r="C1054" s="6">
        <v>0.41666666666681201</v>
      </c>
      <c r="D1054" s="5" t="str">
        <f t="shared" si="42"/>
        <v>UTC-4</v>
      </c>
      <c r="E1054" s="7">
        <v>87.19</v>
      </c>
    </row>
    <row r="1055" spans="1:12" x14ac:dyDescent="0.2">
      <c r="A1055" s="5">
        <v>46281</v>
      </c>
      <c r="B1055" s="5">
        <v>46282</v>
      </c>
      <c r="C1055" s="6">
        <v>0.41666666666681801</v>
      </c>
      <c r="D1055" s="5" t="str">
        <f t="shared" ref="D1055" si="43">IF(
 AND(
  B1055 &gt;= IF(
         YEAR(B1055)&gt;=2007,
         DATE(YEAR(B1055),3,14)-WEEKDAY(DATE(YEAR(B1055),3,14),1)+1 + TIME(2,0,0),
         DATE(YEAR(B1055),4,7)-WEEKDAY(DATE(YEAR(B1055),4,7),1)+1 + TIME(2,0,0)
       ),
  B1055 &lt;  IF(
         YEAR(B1055)&gt;=2007,
         DATE(YEAR(B1055),11,7)-WEEKDAY(DATE(YEAR(B1055),11,7),1)+1 + TIME(2,0,0),
         DATE(YEAR(B1055),10,31)-WEEKDAY(DATE(YEAR(B1055),10,31),1) + TIME(2,0,0)
       )
 ),
 "UTC-4",
 "UTC-5"
)</f>
        <v>UTC-4</v>
      </c>
      <c r="E1055" s="7">
        <v>71.92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12" sqref="N12"/>
    </sheetView>
  </sheetViews>
  <sheetFormatPr baseColWidth="10" defaultColWidth="8.83203125" defaultRowHeight="15" x14ac:dyDescent="0.2"/>
  <cols>
    <col min="1" max="1" width="10.33203125" style="5" bestFit="1" customWidth="1"/>
    <col min="2" max="2" width="12.33203125" style="5" bestFit="1" customWidth="1"/>
    <col min="3" max="3" width="11.33203125" style="19" bestFit="1" customWidth="1"/>
    <col min="4" max="4" width="10" style="19" bestFit="1" customWidth="1"/>
    <col min="5" max="11" width="8.83203125" style="18"/>
    <col min="12" max="12" width="9.5" style="18" bestFit="1" customWidth="1"/>
    <col min="13" max="13" width="8.83203125" style="18"/>
    <col min="14" max="16384" width="8.83203125" style="12"/>
  </cols>
  <sheetData>
    <row r="1" spans="1:13" x14ac:dyDescent="0.2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2">
      <c r="A2" s="5">
        <v>46198</v>
      </c>
      <c r="B2" s="5">
        <v>46202</v>
      </c>
      <c r="C2" s="6">
        <v>0.41666666666674601</v>
      </c>
      <c r="D2" s="5" t="s">
        <v>41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2">
      <c r="A3" s="5">
        <v>46205</v>
      </c>
      <c r="B3" s="5">
        <v>46209</v>
      </c>
      <c r="C3" s="6">
        <v>0.41666666666674601</v>
      </c>
      <c r="D3" s="5" t="s">
        <v>41</v>
      </c>
    </row>
    <row r="4" spans="1:13" x14ac:dyDescent="0.2">
      <c r="A4" s="5">
        <v>46212</v>
      </c>
      <c r="B4" s="5">
        <v>46216</v>
      </c>
      <c r="C4" s="6">
        <v>0.41666666666674601</v>
      </c>
      <c r="D4" s="5" t="s">
        <v>41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2">
      <c r="A5" s="5">
        <v>46219</v>
      </c>
      <c r="B5" s="5">
        <v>46223</v>
      </c>
      <c r="C5" s="6">
        <v>0.41666666666674601</v>
      </c>
      <c r="D5" s="5" t="s">
        <v>41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2">
      <c r="A6" s="5">
        <v>46226</v>
      </c>
      <c r="B6" s="5">
        <v>46230</v>
      </c>
      <c r="C6" s="6">
        <v>0.41666666666674601</v>
      </c>
      <c r="D6" s="5" t="s">
        <v>41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2">
      <c r="A7" s="5">
        <v>46233</v>
      </c>
      <c r="B7" s="5">
        <v>46237</v>
      </c>
      <c r="C7" s="6">
        <v>0.41666666666674601</v>
      </c>
      <c r="D7" s="5" t="s">
        <v>41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2">
      <c r="A8" s="5">
        <v>46240</v>
      </c>
      <c r="B8" s="5">
        <v>46244</v>
      </c>
      <c r="C8" s="6">
        <v>0.41666666666674601</v>
      </c>
      <c r="D8" s="5" t="s">
        <v>41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2">
      <c r="A9" s="5">
        <v>46247</v>
      </c>
      <c r="B9" s="5">
        <v>46251</v>
      </c>
      <c r="C9" s="6">
        <v>0.41666666666674601</v>
      </c>
      <c r="D9" s="5" t="s">
        <v>41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  <row r="10" spans="1:13" x14ac:dyDescent="0.2">
      <c r="A10" s="5">
        <v>46254</v>
      </c>
      <c r="B10" s="5">
        <v>46258</v>
      </c>
      <c r="C10" s="6">
        <v>0.41666666666674601</v>
      </c>
      <c r="D10" s="5" t="s">
        <v>41</v>
      </c>
      <c r="E10" s="18">
        <v>0.51800000000000002</v>
      </c>
      <c r="F10" s="18">
        <v>0.48199999999999998</v>
      </c>
      <c r="G10" s="18">
        <v>0.16070000000000001</v>
      </c>
      <c r="H10" s="18">
        <v>0.16070000000000001</v>
      </c>
      <c r="I10" s="18">
        <v>0.03</v>
      </c>
      <c r="J10" s="18">
        <v>1.67E-2</v>
      </c>
      <c r="K10" s="18">
        <v>0.15</v>
      </c>
      <c r="L10" s="18">
        <v>-0.13650000000000001</v>
      </c>
      <c r="M10" s="18">
        <v>0.20480000000000001</v>
      </c>
    </row>
    <row r="11" spans="1:13" x14ac:dyDescent="0.2">
      <c r="A11" s="5">
        <v>46268</v>
      </c>
      <c r="B11" s="5">
        <v>46273</v>
      </c>
      <c r="C11" s="6">
        <v>0.41666666666674601</v>
      </c>
      <c r="D11" s="5" t="s">
        <v>41</v>
      </c>
      <c r="E11" s="18">
        <v>0.56599999999999995</v>
      </c>
      <c r="F11" s="18">
        <v>0.433</v>
      </c>
      <c r="G11" s="18">
        <v>0.19639999999999999</v>
      </c>
      <c r="H11" s="18">
        <v>0.1429</v>
      </c>
      <c r="I11" s="18">
        <v>0.03</v>
      </c>
      <c r="J11" s="18">
        <v>1.67E-2</v>
      </c>
      <c r="K11" s="18">
        <v>0.18</v>
      </c>
      <c r="L11" s="18">
        <v>-5.67E-2</v>
      </c>
      <c r="M11" s="18">
        <v>8.5099999999999995E-2</v>
      </c>
    </row>
    <row r="12" spans="1:13" x14ac:dyDescent="0.2">
      <c r="A12" s="5">
        <v>46275</v>
      </c>
      <c r="B12" s="5">
        <v>46279</v>
      </c>
      <c r="C12" s="6">
        <v>0.41666666666674601</v>
      </c>
      <c r="D12" s="5" t="s">
        <v>41</v>
      </c>
      <c r="E12" s="18">
        <v>0.56799999999999995</v>
      </c>
      <c r="F12" s="18">
        <v>0.432</v>
      </c>
      <c r="G12" s="18">
        <v>0.16070000000000001</v>
      </c>
      <c r="H12" s="18">
        <v>0.1071</v>
      </c>
      <c r="I12" s="18">
        <v>7.0000000000000007E-2</v>
      </c>
      <c r="J12" s="18">
        <v>0.05</v>
      </c>
      <c r="K12" s="18">
        <v>0.18</v>
      </c>
      <c r="L12" s="18">
        <v>-5.3600000000000002E-2</v>
      </c>
      <c r="M12" s="18">
        <v>8.0399999999999999E-2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opLeftCell="H2" workbookViewId="0">
      <selection activeCell="L34" sqref="L34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baseColWidth="10" defaultColWidth="11" defaultRowHeight="15" x14ac:dyDescent="0.2"/>
  <cols>
    <col min="1" max="16384" width="11" style="12"/>
  </cols>
  <sheetData>
    <row r="2" spans="2:4" x14ac:dyDescent="0.2">
      <c r="B2" s="20" t="s">
        <v>1</v>
      </c>
      <c r="C2" s="20" t="s">
        <v>9</v>
      </c>
      <c r="D2" s="21" t="s">
        <v>8</v>
      </c>
    </row>
    <row r="3" spans="2:4" x14ac:dyDescent="0.2">
      <c r="C3" s="12" t="s">
        <v>0</v>
      </c>
      <c r="D3" s="22" t="s">
        <v>40</v>
      </c>
    </row>
    <row r="4" spans="2:4" x14ac:dyDescent="0.2">
      <c r="C4" s="12" t="s">
        <v>13</v>
      </c>
      <c r="D4" s="12" t="s">
        <v>20</v>
      </c>
    </row>
    <row r="5" spans="2:4" x14ac:dyDescent="0.2">
      <c r="C5" s="12" t="s">
        <v>10</v>
      </c>
      <c r="D5" s="21" t="s">
        <v>16</v>
      </c>
    </row>
    <row r="6" spans="2:4" x14ac:dyDescent="0.2">
      <c r="C6" s="12" t="s">
        <v>11</v>
      </c>
      <c r="D6" s="12" t="s">
        <v>18</v>
      </c>
    </row>
    <row r="7" spans="2:4" x14ac:dyDescent="0.2">
      <c r="C7" s="12" t="s">
        <v>12</v>
      </c>
      <c r="D7" s="12" t="s">
        <v>17</v>
      </c>
    </row>
    <row r="8" spans="2:4" x14ac:dyDescent="0.2">
      <c r="C8" s="12" t="s">
        <v>14</v>
      </c>
      <c r="D8" s="12" t="s">
        <v>21</v>
      </c>
    </row>
    <row r="9" spans="2:4" x14ac:dyDescent="0.2">
      <c r="C9" s="12" t="s">
        <v>15</v>
      </c>
      <c r="D9" s="12" t="s">
        <v>19</v>
      </c>
    </row>
    <row r="10" spans="2:4" x14ac:dyDescent="0.2">
      <c r="D10" s="21" t="s">
        <v>39</v>
      </c>
    </row>
    <row r="11" spans="2:4" x14ac:dyDescent="0.2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2026-09-23T02:13:24Z</dcterms:modified>
</cp:coreProperties>
</file>