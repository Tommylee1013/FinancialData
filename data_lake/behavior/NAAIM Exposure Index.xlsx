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18E7238D-2723-2349-B0FE-2CA92D67C928}" xr6:coauthVersionLast="47" xr6:coauthVersionMax="47" xr10:uidLastSave="{00000000-0000-0000-0000-000000000000}"/>
  <bookViews>
    <workbookView xWindow="15020" yWindow="780" windowWidth="20980" windowHeight="20700" activeTab="1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4" l="1"/>
  <c r="B10" i="4"/>
  <c r="D10" i="4"/>
  <c r="D1052" i="1"/>
  <c r="D1051" i="1"/>
  <c r="A9" i="4"/>
  <c r="B9" i="4"/>
  <c r="D9" i="4" s="1"/>
  <c r="D1050" i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<sst xmlns="http://schemas.openxmlformats.org/spreadsheetml/2006/main" count="45" uniqueCount="41">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</sst>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2"/>
  <sheetViews>
    <sheetView zoomScaleNormal="100" workbookViewId="0">
      <pane xSplit="11" ySplit="2" topLeftCell="L1013" activePane="bottomRight" state="frozen"/>
      <selection pane="topRight" activeCell="J1" sqref="J1"/>
      <selection pane="bottomLeft" activeCell="A5" sqref="A5"/>
      <selection pane="bottomRight" activeCell="F1053" sqref="F1053"/>
    </sheetView>
  </sheetViews>
  <sheetFormatPr baseColWidth="10" defaultColWidth="8.83203125" defaultRowHeight="15" x14ac:dyDescent="0.2"/>
  <cols>
    <col min="1" max="1" width="10.1640625" style="5" bestFit="1" customWidth="1"/>
    <col min="2" max="2" width="12.1640625" style="5" bestFit="1" customWidth="1"/>
    <col min="3" max="3" width="10.83203125" style="6" bestFit="1" customWidth="1"/>
    <col min="4" max="4" width="9.1640625" style="5" bestFit="1" customWidth="1"/>
    <col min="5" max="5" width="10.33203125" style="7" bestFit="1" customWidth="1"/>
    <col min="6" max="6" width="10.1640625" style="8" bestFit="1" customWidth="1"/>
    <col min="7" max="7" width="10.1640625" style="7" bestFit="1" customWidth="1"/>
    <col min="8" max="8" width="10.6640625" style="9" bestFit="1" customWidth="1"/>
    <col min="9" max="9" width="10.1640625" style="9" bestFit="1" customWidth="1"/>
    <col min="10" max="10" width="10.5" style="9" bestFit="1" customWidth="1"/>
    <col min="11" max="11" width="10.1640625" style="7" bestFit="1" customWidth="1"/>
    <col min="12" max="12" width="11.6640625" style="10" bestFit="1" customWidth="1"/>
    <col min="13" max="16384" width="8.83203125" style="11"/>
  </cols>
  <sheetData>
    <row r="1" spans="1:12" s="4" customFormat="1" x14ac:dyDescent="0.2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2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2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2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2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2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2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2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2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2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2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2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2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2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2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2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2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2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2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2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2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2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2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2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2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2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2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2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2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2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2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2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2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2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2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2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2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2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2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2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2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2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2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2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2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2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2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2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2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2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2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2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2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2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2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2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2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2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2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2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2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2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2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2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2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2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2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2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2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2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2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2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2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2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2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2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2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2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2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2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2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2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2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2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2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2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2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2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2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2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2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2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2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2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2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2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2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2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2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2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2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2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2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2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2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2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2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2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2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2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2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2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2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2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2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2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2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2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2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2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2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2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2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2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2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2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2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2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2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2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2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2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2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2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2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2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2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2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2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2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2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2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2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2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2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2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2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2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2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2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2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2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2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2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2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2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2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2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2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2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2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2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2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2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2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2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2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2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2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2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2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2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2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2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2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2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2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2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2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2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2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2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2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2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2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2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2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2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2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2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2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2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2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2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2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2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2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2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2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2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2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2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2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2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2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2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2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2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2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2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2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2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2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2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2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2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2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2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2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2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2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2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2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2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2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2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2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2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2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2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2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2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2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2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2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2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2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2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2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2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2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2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2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2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2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2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2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2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2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2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2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2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2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2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2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2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2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2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2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2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2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2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2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2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2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2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2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2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2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2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2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2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2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2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2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2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2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2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2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2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2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2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2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2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2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2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2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2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2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2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2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2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2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2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2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2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2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2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2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2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2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2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2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2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2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2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2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2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2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2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2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2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2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2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2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2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2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2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2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2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2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2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2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2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2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2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2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2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2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2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2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2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2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2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2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2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2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2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2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2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2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2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2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2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2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2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2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2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2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2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2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2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2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2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2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2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2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2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2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2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2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2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2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2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2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2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2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2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2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2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2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2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2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2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2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2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2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2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2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2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2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2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2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2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2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2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2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2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2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2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2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2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2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2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2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2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2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2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2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2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2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2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2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2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2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2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2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2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2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2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2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2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2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2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2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2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2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2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2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2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2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2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2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2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2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2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2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2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2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2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2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2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2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2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2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2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2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2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2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2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2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2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2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2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2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2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2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2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2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2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2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2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2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2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2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2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2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2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2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2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2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2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2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2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2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2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2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2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2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2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2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2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2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2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2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2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2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2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2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2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2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2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2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2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2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2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2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2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2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2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2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2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2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2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2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2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2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2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2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2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2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2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2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2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2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2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2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2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2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2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2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2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2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2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2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2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2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2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2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2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2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2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2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2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2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2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2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2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2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2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2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2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2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2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2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2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2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2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2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2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2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2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2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2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2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2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2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2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2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2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2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2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2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2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2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2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2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2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2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2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2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2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2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2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2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2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2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2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2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2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2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2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2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2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2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2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2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2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2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2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2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2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2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2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2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2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2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2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2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2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2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2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2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2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2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2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2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2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2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2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2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2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2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2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2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2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2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2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2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2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2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2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2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2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2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2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2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2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2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2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2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2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2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2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2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2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2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2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2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2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2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2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2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2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2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2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2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2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2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2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2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2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2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2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2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2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2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2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2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2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2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2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2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2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2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2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2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2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2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2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2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2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2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2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2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2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2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2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2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2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2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2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2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2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2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2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2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2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2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2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2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2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2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2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2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2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2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2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2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2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2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2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2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2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2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2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2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2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2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2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2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2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2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2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2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2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2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2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2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2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2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2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2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2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2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2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2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2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2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2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2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2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2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2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2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2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2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2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2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2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2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2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2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2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2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2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2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2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2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2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2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2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2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2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2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2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2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2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2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2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2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2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2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2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2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2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2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2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2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2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2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2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2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2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2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2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2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2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2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2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2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2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2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2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2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2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2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2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2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2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2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2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2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2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2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2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2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2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2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2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2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2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2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2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2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2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2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2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2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2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2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2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2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2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2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2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2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2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2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2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2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2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2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2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2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2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2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2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2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2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2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2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2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2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2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2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2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2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2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2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2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2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2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2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2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2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2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2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2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2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2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2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2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2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2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2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2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2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2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2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2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2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2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2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2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2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2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2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2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2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2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2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2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2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2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2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2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2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2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2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2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2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2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2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2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2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2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2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2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2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2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2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2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2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2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2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2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2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2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2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2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2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2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2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2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2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2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2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2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2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2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2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2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2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2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2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2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2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2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2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2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2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2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2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2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2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2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2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2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2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2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2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2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2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2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2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2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2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2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2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2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2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2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2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2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2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2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2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2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2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2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2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2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2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2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2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2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2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2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2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2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2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2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2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2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2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2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2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2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2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2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2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2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2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2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2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2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2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2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2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2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2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2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2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2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2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2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2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2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2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2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2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2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2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2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2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2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2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2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2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2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2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2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2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2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2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2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2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2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2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2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2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2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2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2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2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2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2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2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2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2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2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2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2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2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2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2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2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2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2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2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2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2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2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2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2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2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2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2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2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2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2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95</v>
      </c>
    </row>
    <row r="1050" spans="1:12" x14ac:dyDescent="0.2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</row>
    <row r="1051" spans="1:12" x14ac:dyDescent="0.2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</row>
    <row r="1052" spans="1:12" x14ac:dyDescent="0.2">
      <c r="A1052" s="5">
        <v>46260</v>
      </c>
      <c r="B1052" s="5">
        <v>46261</v>
      </c>
      <c r="C1052" s="6">
        <v>0.41666666666680002</v>
      </c>
      <c r="D1052" s="5" t="str">
        <f t="shared" ref="D1052" si="42">IF(
 AND(
  B1052 &gt;= IF(
         YEAR(B1052)&gt;=2007,
         DATE(YEAR(B1052),3,14)-WEEKDAY(DATE(YEAR(B1052),3,14),1)+1 + TIME(2,0,0),
         DATE(YEAR(B1052),4,7)-WEEKDAY(DATE(YEAR(B1052),4,7),1)+1 + TIME(2,0,0)
       ),
  B1052 &lt;  IF(
         YEAR(B1052)&gt;=2007,
         DATE(YEAR(B1052),11,7)-WEEKDAY(DATE(YEAR(B1052),11,7),1)+1 + TIME(2,0,0),
         DATE(YEAR(B1052),10,31)-WEEKDAY(DATE(YEAR(B1052),10,31),1) + TIME(2,0,0)
       )
 ),
 "UTC-4",
 "UTC-5"
)</f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10"/>
  <sheetViews>
    <sheetView tabSelected="1"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10" sqref="N10"/>
    </sheetView>
  </sheetViews>
  <sheetFormatPr baseColWidth="10" defaultColWidth="8.83203125" defaultRowHeight="15" x14ac:dyDescent="0.2"/>
  <cols>
    <col min="1" max="1" width="10.33203125" style="5" bestFit="1" customWidth="1"/>
    <col min="2" max="2" width="12.33203125" style="5" bestFit="1" customWidth="1"/>
    <col min="3" max="3" width="11.33203125" style="19" bestFit="1" customWidth="1"/>
    <col min="4" max="4" width="10" style="19" bestFit="1" customWidth="1"/>
    <col min="5" max="11" width="8.83203125" style="18"/>
    <col min="12" max="12" width="9.5" style="18" bestFit="1" customWidth="1"/>
    <col min="13" max="13" width="8.83203125" style="18"/>
    <col min="14" max="16384" width="8.83203125" style="12"/>
  </cols>
  <sheetData>
    <row r="1" spans="1:13" x14ac:dyDescent="0.2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2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2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2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2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2">
      <c r="A6" s="5">
        <f t="shared" ref="A6:B10" si="4">A5+7</f>
        <v>46226</v>
      </c>
      <c r="B6" s="5">
        <f t="shared" ref="B6:B9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2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2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:D10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2">
      <c r="A9" s="5">
        <f t="shared" si="4"/>
        <v>46247</v>
      </c>
      <c r="B9" s="5">
        <f t="shared" si="5"/>
        <v>46251</v>
      </c>
      <c r="C9" s="6">
        <v>0.41666666666674601</v>
      </c>
      <c r="D9" s="5" t="str">
        <f t="shared" si="6"/>
        <v>UTC-4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  <row r="10" spans="1:13" x14ac:dyDescent="0.2">
      <c r="A10" s="5">
        <f t="shared" si="4"/>
        <v>46254</v>
      </c>
      <c r="B10" s="5">
        <f t="shared" si="4"/>
        <v>46258</v>
      </c>
      <c r="C10" s="6">
        <v>0.41666666666674601</v>
      </c>
      <c r="D10" s="5" t="str">
        <f t="shared" si="6"/>
        <v>UTC-4</v>
      </c>
      <c r="E10" s="18">
        <v>0.51800000000000002</v>
      </c>
      <c r="F10" s="18">
        <v>0.48199999999999998</v>
      </c>
      <c r="G10" s="18">
        <v>0.16070000000000001</v>
      </c>
      <c r="H10" s="18">
        <v>0.16070000000000001</v>
      </c>
      <c r="I10" s="18">
        <v>0.03</v>
      </c>
      <c r="J10" s="18">
        <v>1.67E-2</v>
      </c>
      <c r="K10" s="18">
        <v>0.15</v>
      </c>
      <c r="L10" s="18">
        <v>-0.13650000000000001</v>
      </c>
      <c r="M10" s="18">
        <v>0.20480000000000001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baseColWidth="10" defaultColWidth="11" defaultRowHeight="15" x14ac:dyDescent="0.2"/>
  <cols>
    <col min="1" max="16384" width="11" style="12"/>
  </cols>
  <sheetData>
    <row r="2" spans="2:4" x14ac:dyDescent="0.2">
      <c r="B2" s="20" t="s">
        <v>1</v>
      </c>
      <c r="C2" s="20" t="s">
        <v>9</v>
      </c>
      <c r="D2" s="21" t="s">
        <v>8</v>
      </c>
    </row>
    <row r="3" spans="2:4" x14ac:dyDescent="0.2">
      <c r="C3" s="12" t="s">
        <v>0</v>
      </c>
      <c r="D3" s="22" t="s">
        <v>40</v>
      </c>
    </row>
    <row r="4" spans="2:4" x14ac:dyDescent="0.2">
      <c r="C4" s="12" t="s">
        <v>13</v>
      </c>
      <c r="D4" s="12" t="s">
        <v>20</v>
      </c>
    </row>
    <row r="5" spans="2:4" x14ac:dyDescent="0.2">
      <c r="C5" s="12" t="s">
        <v>10</v>
      </c>
      <c r="D5" s="21" t="s">
        <v>16</v>
      </c>
    </row>
    <row r="6" spans="2:4" x14ac:dyDescent="0.2">
      <c r="C6" s="12" t="s">
        <v>11</v>
      </c>
      <c r="D6" s="12" t="s">
        <v>18</v>
      </c>
    </row>
    <row r="7" spans="2:4" x14ac:dyDescent="0.2">
      <c r="C7" s="12" t="s">
        <v>12</v>
      </c>
      <c r="D7" s="12" t="s">
        <v>17</v>
      </c>
    </row>
    <row r="8" spans="2:4" x14ac:dyDescent="0.2">
      <c r="C8" s="12" t="s">
        <v>14</v>
      </c>
      <c r="D8" s="12" t="s">
        <v>21</v>
      </c>
    </row>
    <row r="9" spans="2:4" x14ac:dyDescent="0.2">
      <c r="C9" s="12" t="s">
        <v>15</v>
      </c>
      <c r="D9" s="12" t="s">
        <v>19</v>
      </c>
    </row>
    <row r="10" spans="2:4" x14ac:dyDescent="0.2">
      <c r="D10" s="21" t="s">
        <v>39</v>
      </c>
    </row>
    <row r="11" spans="2:4" x14ac:dyDescent="0.2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2026-08-26T17:03:34Z</dcterms:modified>
</cp:coreProperties>
</file>