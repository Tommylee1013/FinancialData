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fixed_income\United States\"/>
    </mc:Choice>
  </mc:AlternateContent>
  <xr:revisionPtr revIDLastSave="0" documentId="13_ncr:1_{2028205E-EBBC-4A93-A456-6153DEC013D2}" xr6:coauthVersionLast="47" xr6:coauthVersionMax="47" xr10:uidLastSave="{00000000-0000-0000-0000-000000000000}"/>
  <bookViews>
    <workbookView xWindow="28680" yWindow="-120" windowWidth="29040" windowHeight="15720" activeTab="1" xr2:uid="{E827C7D6-6B9A-4F7F-A808-D55208F689B4}"/>
  </bookViews>
  <sheets>
    <sheet name="US3YR" sheetId="1" r:id="rId1"/>
    <sheet name="US5Y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308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</calcChain>
</file>

<file path=xl/sharedStrings.xml><?xml version="1.0" encoding="utf-8"?>
<sst xmlns="http://schemas.openxmlformats.org/spreadsheetml/2006/main" count="10" uniqueCount="6">
  <si>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</si>
  <si>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</si>
  <si>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</si>
  <si>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</si>
  <si>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US3YR</t>
    <phoneticPr fontId="2" type="noConversion"/>
  </si>
  <si>
    <t>US5YR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</si>
</sst>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1" formatCode="yyyy/mm/dd;@"/>
    <numFmt numFmtId="183" formatCode="[$-409]h:mm:ss\ AM/PM;@"/>
    <numFmt numFmtId="185" formatCode="0.000%"/>
  </numFmts>
  <fonts count="4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sz val="11"/>
      <color theme="1"/>
      <name val="Aptos Narro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85" fontId="3" fillId="0" borderId="0" xfId="1" applyNumberFormat="1" applyFont="1">
      <alignment vertical="center"/>
    </xf>
    <xf numFmtId="185" fontId="0" fillId="0" borderId="0" xfId="1" applyNumberFormat="1" applyFont="1">
      <alignment vertical="center"/>
    </xf>
    <xf numFmtId="185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BB85-D2A6-4B65-AF4A-26917918186D}">
  <dimension ref="A1:I326"/>
  <sheetViews>
    <sheetView workbookViewId="0">
      <pane xSplit="4" ySplit="3" topLeftCell="E184" activePane="bottomRight" state="frozen"/>
      <selection pane="topRight" activeCell="E1" sqref="E1"/>
      <selection pane="bottomLeft" activeCell="A4" sqref="A4"/>
      <selection pane="bottomRight" activeCell="D3" sqref="D3"/>
    </sheetView>
  </sheetViews>
  <sheetFormatPr defaultRowHeight="14.4" x14ac:dyDescent="0.3"/>
  <cols>
    <col min="1" max="1" width="11" style="2" bestFit="1" customWidth="1"/>
    <col min="2" max="2" width="12.88671875" style="5" bestFit="1" customWidth="1"/>
    <col min="3" max="3" width="11.88671875" style="6" customWidth="1"/>
    <col min="4" max="4" width="10.44140625" style="2" bestFit="1" customWidth="1"/>
    <col min="5" max="5" width="8.88671875" style="11"/>
    <col min="6" max="6" width="11" bestFit="1" customWidth="1"/>
    <col min="9" max="9" width="11" bestFit="1" customWidth="1"/>
  </cols>
  <sheetData>
    <row r="1" spans="1:9" x14ac:dyDescent="0.3">
      <c r="A1" s="2" t="s">
        <v>0</v>
      </c>
      <c r="B1" s="3" t="s">
        <v>1</v>
      </c>
      <c r="C1" s="4" t="s">
        <v>2</v>
      </c>
      <c r="D1" s="2" t="s">
        <v>3</v>
      </c>
      <c r="E1" s="10" t="s">
        <v>4</v>
      </c>
    </row>
    <row r="2" spans="1:9" x14ac:dyDescent="0.3">
      <c r="A2" s="9">
        <v>39783</v>
      </c>
      <c r="B2" s="9">
        <v>39792</v>
      </c>
      <c r="C2" s="6">
        <v>0.54166666666666663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1.7500000000000002E-2</v>
      </c>
      <c r="F2" s="1"/>
      <c r="I2" s="8"/>
    </row>
    <row r="3" spans="1:9" x14ac:dyDescent="0.3">
      <c r="A3" s="9">
        <v>39814</v>
      </c>
      <c r="B3" s="9">
        <v>39820</v>
      </c>
      <c r="C3" s="6">
        <v>0.54166666666666663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1.125E-2</v>
      </c>
      <c r="F3" s="1"/>
      <c r="I3" s="8"/>
    </row>
    <row r="4" spans="1:9" x14ac:dyDescent="0.3">
      <c r="A4" s="9">
        <v>39845</v>
      </c>
      <c r="B4" s="9">
        <v>39854</v>
      </c>
      <c r="C4" s="6">
        <v>0.54166666666666663</v>
      </c>
      <c r="D4" s="7" t="str">
        <f t="shared" si="0"/>
        <v>UTC-5</v>
      </c>
      <c r="E4" s="11">
        <v>1.125E-2</v>
      </c>
      <c r="F4" s="1"/>
      <c r="I4" s="8"/>
    </row>
    <row r="5" spans="1:9" x14ac:dyDescent="0.3">
      <c r="A5" s="9">
        <v>39873</v>
      </c>
      <c r="B5" s="9">
        <v>39882</v>
      </c>
      <c r="C5" s="6">
        <v>0.54166666666666663</v>
      </c>
      <c r="D5" s="7" t="str">
        <f t="shared" si="0"/>
        <v>UTC-4</v>
      </c>
      <c r="E5" s="11">
        <v>1.375E-2</v>
      </c>
      <c r="F5" s="1"/>
      <c r="I5" s="8"/>
    </row>
    <row r="6" spans="1:9" x14ac:dyDescent="0.3">
      <c r="A6" s="9">
        <v>39904</v>
      </c>
      <c r="B6" s="9">
        <v>39910</v>
      </c>
      <c r="C6" s="6">
        <v>0.54166666666666663</v>
      </c>
      <c r="D6" s="7" t="str">
        <f t="shared" si="0"/>
        <v>UTC-4</v>
      </c>
      <c r="E6" s="11">
        <v>1.375E-2</v>
      </c>
      <c r="F6" s="1"/>
      <c r="I6" s="8"/>
    </row>
    <row r="7" spans="1:9" x14ac:dyDescent="0.3">
      <c r="A7" s="9">
        <v>39934</v>
      </c>
      <c r="B7" s="9">
        <v>39938</v>
      </c>
      <c r="C7" s="6">
        <v>0.54166666666666663</v>
      </c>
      <c r="D7" s="7" t="str">
        <f t="shared" si="0"/>
        <v>UTC-4</v>
      </c>
      <c r="E7" s="11">
        <v>1.375E-2</v>
      </c>
      <c r="F7" s="1"/>
      <c r="I7" s="8"/>
    </row>
    <row r="8" spans="1:9" x14ac:dyDescent="0.3">
      <c r="A8" s="9">
        <v>39965</v>
      </c>
      <c r="B8" s="9">
        <v>39973</v>
      </c>
      <c r="C8" s="6">
        <v>0.54166666666666663</v>
      </c>
      <c r="D8" s="7" t="str">
        <f t="shared" si="0"/>
        <v>UTC-4</v>
      </c>
      <c r="E8" s="11">
        <v>1.375E-2</v>
      </c>
      <c r="F8" s="1"/>
      <c r="I8" s="8"/>
    </row>
    <row r="9" spans="1:9" x14ac:dyDescent="0.3">
      <c r="A9" s="9">
        <v>39995</v>
      </c>
      <c r="B9" s="9">
        <v>40001</v>
      </c>
      <c r="C9" s="6">
        <v>0.54166666666666663</v>
      </c>
      <c r="D9" s="7" t="str">
        <f t="shared" si="0"/>
        <v>UTC-4</v>
      </c>
      <c r="E9" s="11">
        <v>1.8749999999999999E-2</v>
      </c>
      <c r="F9" s="1"/>
      <c r="I9" s="8"/>
    </row>
    <row r="10" spans="1:9" x14ac:dyDescent="0.3">
      <c r="A10" s="9">
        <v>40026</v>
      </c>
      <c r="B10" s="9">
        <v>40036</v>
      </c>
      <c r="C10" s="6">
        <v>0.54166666666666663</v>
      </c>
      <c r="D10" s="7" t="str">
        <f t="shared" si="0"/>
        <v>UTC-4</v>
      </c>
      <c r="E10" s="11">
        <v>1.4999999999999999E-2</v>
      </c>
      <c r="F10" s="1"/>
      <c r="I10" s="8"/>
    </row>
    <row r="11" spans="1:9" x14ac:dyDescent="0.3">
      <c r="A11" s="9">
        <v>40057</v>
      </c>
      <c r="B11" s="9">
        <v>40064</v>
      </c>
      <c r="C11" s="6">
        <v>0.54166666666666663</v>
      </c>
      <c r="D11" s="7" t="str">
        <f t="shared" si="0"/>
        <v>UTC-4</v>
      </c>
      <c r="E11" s="11">
        <v>1.7500000000000002E-2</v>
      </c>
      <c r="F11" s="1"/>
      <c r="I11" s="8"/>
    </row>
    <row r="12" spans="1:9" x14ac:dyDescent="0.3">
      <c r="A12" s="9">
        <v>40087</v>
      </c>
      <c r="B12" s="9">
        <v>40092</v>
      </c>
      <c r="C12" s="6">
        <v>0.54166666666666663</v>
      </c>
      <c r="D12" s="7" t="str">
        <f t="shared" si="0"/>
        <v>UTC-4</v>
      </c>
      <c r="E12" s="11">
        <v>1.375E-2</v>
      </c>
      <c r="F12" s="1"/>
      <c r="I12" s="8"/>
    </row>
    <row r="13" spans="1:9" x14ac:dyDescent="0.3">
      <c r="A13" s="9">
        <v>40118</v>
      </c>
      <c r="B13" s="9">
        <v>40126</v>
      </c>
      <c r="C13" s="6">
        <v>0.54166666666666663</v>
      </c>
      <c r="D13" s="7" t="str">
        <f t="shared" si="0"/>
        <v>UTC-5</v>
      </c>
      <c r="E13" s="11">
        <v>1.375E-2</v>
      </c>
      <c r="F13" s="1"/>
      <c r="I13" s="8"/>
    </row>
    <row r="14" spans="1:9" x14ac:dyDescent="0.3">
      <c r="A14" s="9">
        <v>40148</v>
      </c>
      <c r="B14" s="9">
        <v>40155</v>
      </c>
      <c r="C14" s="6">
        <v>0.54166666666666663</v>
      </c>
      <c r="D14" s="7" t="str">
        <f t="shared" si="0"/>
        <v>UTC-5</v>
      </c>
      <c r="E14" s="11">
        <v>1.375E-2</v>
      </c>
      <c r="F14" s="1"/>
      <c r="I14" s="8"/>
    </row>
    <row r="15" spans="1:9" x14ac:dyDescent="0.3">
      <c r="A15" s="9">
        <v>40179</v>
      </c>
      <c r="B15" s="9">
        <v>40183</v>
      </c>
      <c r="C15" s="6">
        <v>0.54166666666666663</v>
      </c>
      <c r="D15" s="7" t="str">
        <f t="shared" si="0"/>
        <v>UTC-5</v>
      </c>
      <c r="E15" s="11">
        <v>1.125E-2</v>
      </c>
      <c r="F15" s="1"/>
      <c r="I15" s="8"/>
    </row>
    <row r="16" spans="1:9" x14ac:dyDescent="0.3">
      <c r="A16" s="9">
        <v>40210</v>
      </c>
      <c r="B16" s="9">
        <v>40218</v>
      </c>
      <c r="C16" s="6">
        <v>0.54166666666666663</v>
      </c>
      <c r="D16" s="7" t="str">
        <f t="shared" si="0"/>
        <v>UTC-5</v>
      </c>
      <c r="E16" s="11">
        <v>1.375E-2</v>
      </c>
      <c r="F16" s="1"/>
      <c r="I16" s="8"/>
    </row>
    <row r="17" spans="1:9" x14ac:dyDescent="0.3">
      <c r="A17" s="9">
        <v>40238</v>
      </c>
      <c r="B17" s="9">
        <v>40246</v>
      </c>
      <c r="C17" s="6">
        <v>0.54166666666666663</v>
      </c>
      <c r="D17" s="7" t="str">
        <f t="shared" si="0"/>
        <v>UTC-5</v>
      </c>
      <c r="E17" s="11">
        <v>1.375E-2</v>
      </c>
      <c r="F17" s="1"/>
      <c r="I17" s="8"/>
    </row>
    <row r="18" spans="1:9" x14ac:dyDescent="0.3">
      <c r="A18" s="9">
        <v>40269</v>
      </c>
      <c r="B18" s="9">
        <v>40274</v>
      </c>
      <c r="C18" s="6">
        <v>0.54166666666666663</v>
      </c>
      <c r="D18" s="7" t="str">
        <f t="shared" si="0"/>
        <v>UTC-4</v>
      </c>
      <c r="E18" s="11">
        <v>1.375E-2</v>
      </c>
      <c r="F18" s="1"/>
      <c r="I18" s="8"/>
    </row>
    <row r="19" spans="1:9" x14ac:dyDescent="0.3">
      <c r="A19" s="9">
        <v>40299</v>
      </c>
      <c r="B19" s="9">
        <v>40309</v>
      </c>
      <c r="C19" s="6">
        <v>0.54166666666666663</v>
      </c>
      <c r="D19" s="7" t="str">
        <f t="shared" si="0"/>
        <v>UTC-4</v>
      </c>
      <c r="E19" s="11">
        <v>1.7500000000000002E-2</v>
      </c>
      <c r="F19" s="1"/>
      <c r="I19" s="8"/>
    </row>
    <row r="20" spans="1:9" x14ac:dyDescent="0.3">
      <c r="A20" s="9">
        <v>40330</v>
      </c>
      <c r="B20" s="9">
        <v>40337</v>
      </c>
      <c r="C20" s="6">
        <v>0.54166666666666663</v>
      </c>
      <c r="D20" s="7" t="str">
        <f t="shared" si="0"/>
        <v>UTC-4</v>
      </c>
      <c r="E20" s="11">
        <v>1.375E-2</v>
      </c>
      <c r="F20" s="1"/>
      <c r="I20" s="8"/>
    </row>
    <row r="21" spans="1:9" x14ac:dyDescent="0.3">
      <c r="A21" s="9">
        <v>40360</v>
      </c>
      <c r="B21" s="9">
        <v>40365</v>
      </c>
      <c r="C21" s="6">
        <v>0.54166666666666663</v>
      </c>
      <c r="D21" s="7" t="str">
        <f t="shared" si="0"/>
        <v>UTC-4</v>
      </c>
      <c r="E21" s="11">
        <v>1.125E-2</v>
      </c>
      <c r="F21" s="1"/>
      <c r="I21" s="8"/>
    </row>
    <row r="22" spans="1:9" x14ac:dyDescent="0.3">
      <c r="A22" s="9">
        <v>40391</v>
      </c>
      <c r="B22" s="9">
        <v>40400</v>
      </c>
      <c r="C22" s="6">
        <v>0.54166666666666663</v>
      </c>
      <c r="D22" s="7" t="str">
        <f t="shared" si="0"/>
        <v>UTC-4</v>
      </c>
      <c r="E22" s="11">
        <v>0.01</v>
      </c>
      <c r="F22" s="1"/>
      <c r="I22" s="8"/>
    </row>
    <row r="23" spans="1:9" x14ac:dyDescent="0.3">
      <c r="A23" s="9">
        <v>40422</v>
      </c>
      <c r="B23" s="9">
        <v>40428</v>
      </c>
      <c r="C23" s="6">
        <v>0.54166666666666663</v>
      </c>
      <c r="D23" s="7" t="str">
        <f t="shared" si="0"/>
        <v>UTC-4</v>
      </c>
      <c r="E23" s="11">
        <v>7.4999999999999997E-3</v>
      </c>
      <c r="F23" s="1"/>
      <c r="I23" s="8"/>
    </row>
    <row r="24" spans="1:9" x14ac:dyDescent="0.3">
      <c r="A24" s="9">
        <v>40452</v>
      </c>
      <c r="B24" s="9">
        <v>40456</v>
      </c>
      <c r="C24" s="6">
        <v>0.54166666666666663</v>
      </c>
      <c r="D24" s="7" t="str">
        <f t="shared" si="0"/>
        <v>UTC-4</v>
      </c>
      <c r="E24" s="11">
        <v>7.4999999999999997E-3</v>
      </c>
      <c r="F24" s="1"/>
      <c r="I24" s="8"/>
    </row>
    <row r="25" spans="1:9" x14ac:dyDescent="0.3">
      <c r="A25" s="9">
        <v>40483</v>
      </c>
      <c r="B25" s="9">
        <v>40490</v>
      </c>
      <c r="C25" s="6">
        <v>0.54166666666666663</v>
      </c>
      <c r="D25" s="7" t="str">
        <f t="shared" si="0"/>
        <v>UTC-5</v>
      </c>
      <c r="E25" s="11">
        <v>5.0000000000000001E-3</v>
      </c>
      <c r="F25" s="1"/>
      <c r="I25" s="8"/>
    </row>
    <row r="26" spans="1:9" x14ac:dyDescent="0.3">
      <c r="A26" s="9">
        <v>40513</v>
      </c>
      <c r="B26" s="9">
        <v>40519</v>
      </c>
      <c r="C26" s="6">
        <v>0.54166666666666663</v>
      </c>
      <c r="D26" s="7" t="str">
        <f t="shared" si="0"/>
        <v>UTC-5</v>
      </c>
      <c r="E26" s="11">
        <v>5.0000000000000001E-3</v>
      </c>
      <c r="F26" s="1"/>
      <c r="I26" s="8"/>
    </row>
    <row r="27" spans="1:9" x14ac:dyDescent="0.3">
      <c r="A27" s="9">
        <v>40544</v>
      </c>
      <c r="B27" s="9">
        <v>40554</v>
      </c>
      <c r="C27" s="6">
        <v>0.54166666666666663</v>
      </c>
      <c r="D27" s="7" t="str">
        <f t="shared" si="0"/>
        <v>UTC-5</v>
      </c>
      <c r="E27" s="11">
        <v>7.2500000000000004E-3</v>
      </c>
      <c r="F27" s="1"/>
      <c r="I27" s="8"/>
    </row>
    <row r="28" spans="1:9" x14ac:dyDescent="0.3">
      <c r="A28" s="9">
        <v>40575</v>
      </c>
      <c r="B28" s="9">
        <v>40582</v>
      </c>
      <c r="C28" s="6">
        <v>0.54166666666666663</v>
      </c>
      <c r="D28" s="7" t="str">
        <f t="shared" si="0"/>
        <v>UTC-5</v>
      </c>
      <c r="E28" s="11">
        <v>8.2799999999999992E-3</v>
      </c>
      <c r="F28" s="1"/>
      <c r="I28" s="8"/>
    </row>
    <row r="29" spans="1:9" x14ac:dyDescent="0.3">
      <c r="A29" s="9">
        <v>40603</v>
      </c>
      <c r="B29" s="9">
        <v>40610</v>
      </c>
      <c r="C29" s="6">
        <v>0.54166666666666663</v>
      </c>
      <c r="D29" s="7" t="str">
        <f t="shared" si="0"/>
        <v>UTC-5</v>
      </c>
      <c r="E29" s="11">
        <v>1.2500000000000001E-2</v>
      </c>
      <c r="F29" s="1"/>
      <c r="I29" s="8"/>
    </row>
    <row r="30" spans="1:9" x14ac:dyDescent="0.3">
      <c r="A30" s="9">
        <v>40634</v>
      </c>
      <c r="B30" s="9">
        <v>40638</v>
      </c>
      <c r="C30" s="6">
        <v>0.54166666666666663</v>
      </c>
      <c r="D30" s="7" t="str">
        <f t="shared" si="0"/>
        <v>UTC-4</v>
      </c>
      <c r="E30" s="11">
        <v>1.2500000000000001E-2</v>
      </c>
      <c r="F30" s="1"/>
      <c r="I30" s="8"/>
    </row>
    <row r="31" spans="1:9" x14ac:dyDescent="0.3">
      <c r="A31" s="9">
        <v>40664</v>
      </c>
      <c r="B31" s="9">
        <v>40673</v>
      </c>
      <c r="C31" s="6">
        <v>0.54166666666666663</v>
      </c>
      <c r="D31" s="7" t="str">
        <f t="shared" si="0"/>
        <v>UTC-4</v>
      </c>
      <c r="E31" s="11">
        <v>1.2500000000000001E-2</v>
      </c>
      <c r="F31" s="1"/>
      <c r="I31" s="8"/>
    </row>
    <row r="32" spans="1:9" x14ac:dyDescent="0.3">
      <c r="A32" s="9">
        <v>40695</v>
      </c>
      <c r="B32" s="9">
        <v>40701</v>
      </c>
      <c r="C32" s="6">
        <v>0.54166666666666663</v>
      </c>
      <c r="D32" s="7" t="str">
        <f t="shared" si="0"/>
        <v>UTC-4</v>
      </c>
      <c r="E32" s="11">
        <v>0.01</v>
      </c>
      <c r="F32" s="1"/>
      <c r="I32" s="8"/>
    </row>
    <row r="33" spans="1:9" x14ac:dyDescent="0.3">
      <c r="A33" s="9">
        <v>40725</v>
      </c>
      <c r="B33" s="9">
        <v>40736</v>
      </c>
      <c r="C33" s="6">
        <v>0.54166666666666663</v>
      </c>
      <c r="D33" s="7" t="str">
        <f t="shared" si="0"/>
        <v>UTC-4</v>
      </c>
      <c r="E33" s="11">
        <v>7.4999999999999997E-3</v>
      </c>
      <c r="F33" s="1"/>
      <c r="I33" s="8"/>
    </row>
    <row r="34" spans="1:9" x14ac:dyDescent="0.3">
      <c r="A34" s="9">
        <v>40756</v>
      </c>
      <c r="B34" s="9">
        <v>40764</v>
      </c>
      <c r="C34" s="6">
        <v>0.54166666666666663</v>
      </c>
      <c r="D34" s="7" t="str">
        <f t="shared" si="0"/>
        <v>UTC-4</v>
      </c>
      <c r="E34" s="11">
        <v>6.2500000000000003E-3</v>
      </c>
      <c r="F34" s="1"/>
      <c r="I34" s="8"/>
    </row>
    <row r="35" spans="1:9" x14ac:dyDescent="0.3">
      <c r="A35" s="9">
        <v>40787</v>
      </c>
      <c r="B35" s="9">
        <v>40798</v>
      </c>
      <c r="C35" s="6">
        <v>0.54166666666666663</v>
      </c>
      <c r="D35" s="7" t="str">
        <f t="shared" si="0"/>
        <v>UTC-4</v>
      </c>
      <c r="E35" s="11">
        <v>5.0000000000000001E-3</v>
      </c>
      <c r="F35" s="1"/>
      <c r="I35" s="8"/>
    </row>
    <row r="36" spans="1:9" x14ac:dyDescent="0.3">
      <c r="A36" s="9">
        <v>40817</v>
      </c>
      <c r="B36" s="9">
        <v>40827</v>
      </c>
      <c r="C36" s="6">
        <v>0.54166666666666663</v>
      </c>
      <c r="D36" s="7" t="str">
        <f t="shared" si="0"/>
        <v>UTC-4</v>
      </c>
      <c r="E36" s="11">
        <v>2.5000000000000001E-3</v>
      </c>
      <c r="F36" s="1"/>
      <c r="I36" s="8"/>
    </row>
    <row r="37" spans="1:9" x14ac:dyDescent="0.3">
      <c r="A37" s="9">
        <v>40848</v>
      </c>
      <c r="B37" s="9">
        <v>40855</v>
      </c>
      <c r="C37" s="6">
        <v>0.54166666666666663</v>
      </c>
      <c r="D37" s="7" t="str">
        <f t="shared" si="0"/>
        <v>UTC-5</v>
      </c>
      <c r="E37" s="11">
        <v>5.0000000000000001E-3</v>
      </c>
      <c r="F37" s="1"/>
      <c r="I37" s="8"/>
    </row>
    <row r="38" spans="1:9" x14ac:dyDescent="0.3">
      <c r="A38" s="9">
        <v>40878</v>
      </c>
      <c r="B38" s="9">
        <v>40883</v>
      </c>
      <c r="C38" s="6">
        <v>0.54166666666666663</v>
      </c>
      <c r="D38" s="7" t="str">
        <f t="shared" si="0"/>
        <v>UTC-5</v>
      </c>
      <c r="E38" s="11">
        <v>3.7499999999999999E-3</v>
      </c>
      <c r="F38" s="1"/>
      <c r="I38" s="8"/>
    </row>
    <row r="39" spans="1:9" x14ac:dyDescent="0.3">
      <c r="A39" s="9">
        <v>40909</v>
      </c>
      <c r="B39" s="9">
        <v>40918</v>
      </c>
      <c r="C39" s="6">
        <v>0.54166666666666663</v>
      </c>
      <c r="D39" s="7" t="str">
        <f t="shared" si="0"/>
        <v>UTC-5</v>
      </c>
      <c r="E39" s="11">
        <v>2.5000000000000001E-3</v>
      </c>
      <c r="F39" s="1"/>
      <c r="I39" s="8"/>
    </row>
    <row r="40" spans="1:9" x14ac:dyDescent="0.3">
      <c r="A40" s="9">
        <v>40940</v>
      </c>
      <c r="B40" s="9">
        <v>40946</v>
      </c>
      <c r="C40" s="6">
        <v>0.54166666666666663</v>
      </c>
      <c r="D40" s="7" t="str">
        <f t="shared" si="0"/>
        <v>UTC-5</v>
      </c>
      <c r="E40" s="11">
        <v>2.5000000000000001E-3</v>
      </c>
      <c r="F40" s="1"/>
      <c r="I40" s="8"/>
    </row>
    <row r="41" spans="1:9" x14ac:dyDescent="0.3">
      <c r="A41" s="9">
        <v>40969</v>
      </c>
      <c r="B41" s="9">
        <v>40980</v>
      </c>
      <c r="C41" s="6">
        <v>0.54166666666666663</v>
      </c>
      <c r="D41" s="7" t="str">
        <f t="shared" si="0"/>
        <v>UTC-4</v>
      </c>
      <c r="E41" s="11">
        <v>2.5000000000000001E-3</v>
      </c>
      <c r="F41" s="1"/>
      <c r="I41" s="8"/>
    </row>
    <row r="42" spans="1:9" x14ac:dyDescent="0.3">
      <c r="A42" s="9">
        <v>41000</v>
      </c>
      <c r="B42" s="5">
        <v>41009</v>
      </c>
      <c r="C42" s="6">
        <v>0.54166666666666663</v>
      </c>
      <c r="D42" s="7" t="str">
        <f t="shared" si="0"/>
        <v>UTC-4</v>
      </c>
      <c r="E42" s="11">
        <v>4.2700000000000004E-3</v>
      </c>
      <c r="F42" s="1"/>
    </row>
    <row r="43" spans="1:9" x14ac:dyDescent="0.3">
      <c r="A43" s="9">
        <v>41030</v>
      </c>
      <c r="B43" s="5">
        <v>41037</v>
      </c>
      <c r="C43" s="6">
        <v>0.54166666666666663</v>
      </c>
      <c r="D43" s="7" t="str">
        <f t="shared" si="0"/>
        <v>UTC-4</v>
      </c>
      <c r="E43" s="11">
        <v>3.62E-3</v>
      </c>
      <c r="F43" s="1"/>
    </row>
    <row r="44" spans="1:9" x14ac:dyDescent="0.3">
      <c r="A44" s="9">
        <v>41061</v>
      </c>
      <c r="B44" s="5">
        <v>41072</v>
      </c>
      <c r="C44" s="6">
        <v>0.54166666666666663</v>
      </c>
      <c r="D44" s="7" t="str">
        <f t="shared" si="0"/>
        <v>UTC-4</v>
      </c>
      <c r="E44" s="11">
        <v>3.8700000000000002E-3</v>
      </c>
      <c r="F44" s="1"/>
    </row>
    <row r="45" spans="1:9" x14ac:dyDescent="0.3">
      <c r="A45" s="9">
        <v>41091</v>
      </c>
      <c r="B45" s="5">
        <v>41100</v>
      </c>
      <c r="C45" s="6">
        <v>0.54166666666666663</v>
      </c>
      <c r="D45" s="7" t="str">
        <f t="shared" si="0"/>
        <v>UTC-4</v>
      </c>
      <c r="E45" s="11">
        <v>3.6600000000000001E-3</v>
      </c>
      <c r="F45" s="1"/>
    </row>
    <row r="46" spans="1:9" x14ac:dyDescent="0.3">
      <c r="A46" s="9">
        <v>41122</v>
      </c>
      <c r="B46" s="5">
        <v>41128</v>
      </c>
      <c r="C46" s="6">
        <v>0.54166666666666663</v>
      </c>
      <c r="D46" s="7" t="str">
        <f t="shared" si="0"/>
        <v>UTC-4</v>
      </c>
      <c r="E46" s="11">
        <v>3.7000000000000002E-3</v>
      </c>
      <c r="F46" s="1"/>
    </row>
    <row r="47" spans="1:9" x14ac:dyDescent="0.3">
      <c r="A47" s="9">
        <v>41153</v>
      </c>
      <c r="B47" s="5">
        <v>41163</v>
      </c>
      <c r="C47" s="6">
        <v>0.54166666666666663</v>
      </c>
      <c r="D47" s="7" t="str">
        <f t="shared" si="0"/>
        <v>UTC-4</v>
      </c>
      <c r="E47" s="11">
        <v>3.3700000000000002E-3</v>
      </c>
      <c r="F47" s="1"/>
    </row>
    <row r="48" spans="1:9" x14ac:dyDescent="0.3">
      <c r="A48" s="9">
        <v>41183</v>
      </c>
      <c r="B48" s="5">
        <v>41191</v>
      </c>
      <c r="C48" s="6">
        <v>0.54166666666666663</v>
      </c>
      <c r="D48" s="7" t="str">
        <f t="shared" si="0"/>
        <v>UTC-4</v>
      </c>
      <c r="E48" s="11">
        <v>3.46E-3</v>
      </c>
      <c r="F48" s="1"/>
    </row>
    <row r="49" spans="1:6" x14ac:dyDescent="0.3">
      <c r="A49" s="9">
        <v>41214</v>
      </c>
      <c r="B49" s="5">
        <v>41219</v>
      </c>
      <c r="C49" s="6">
        <v>0.54166666666666663</v>
      </c>
      <c r="D49" s="7" t="str">
        <f t="shared" si="0"/>
        <v>UTC-5</v>
      </c>
      <c r="E49" s="11">
        <v>3.9199999999999999E-3</v>
      </c>
      <c r="F49" s="1"/>
    </row>
    <row r="50" spans="1:6" x14ac:dyDescent="0.3">
      <c r="A50" s="9">
        <v>41244</v>
      </c>
      <c r="B50" s="5">
        <v>41254</v>
      </c>
      <c r="C50" s="6">
        <v>0.54166666666666663</v>
      </c>
      <c r="D50" s="7" t="str">
        <f t="shared" si="0"/>
        <v>UTC-5</v>
      </c>
      <c r="E50" s="11">
        <v>3.2699999999999999E-3</v>
      </c>
      <c r="F50" s="1"/>
    </row>
    <row r="51" spans="1:6" x14ac:dyDescent="0.3">
      <c r="A51" s="9">
        <v>41275</v>
      </c>
      <c r="B51" s="5">
        <v>41282</v>
      </c>
      <c r="C51" s="6">
        <v>0.54166666666666663</v>
      </c>
      <c r="D51" s="7" t="str">
        <f t="shared" si="0"/>
        <v>UTC-5</v>
      </c>
      <c r="E51" s="11">
        <v>3.8500000000000001E-3</v>
      </c>
      <c r="F51" s="1"/>
    </row>
    <row r="52" spans="1:6" x14ac:dyDescent="0.3">
      <c r="A52" s="9">
        <v>41306</v>
      </c>
      <c r="B52" s="5">
        <v>41317</v>
      </c>
      <c r="C52" s="6">
        <v>0.54166666666666663</v>
      </c>
      <c r="D52" s="7" t="str">
        <f t="shared" si="0"/>
        <v>UTC-5</v>
      </c>
      <c r="E52" s="11">
        <v>4.1099999999999999E-3</v>
      </c>
      <c r="F52" s="1"/>
    </row>
    <row r="53" spans="1:6" x14ac:dyDescent="0.3">
      <c r="A53" s="9">
        <v>41334</v>
      </c>
      <c r="B53" s="5">
        <v>41345</v>
      </c>
      <c r="C53" s="6">
        <v>0.54166666666666663</v>
      </c>
      <c r="D53" s="7" t="str">
        <f t="shared" si="0"/>
        <v>UTC-4</v>
      </c>
      <c r="E53" s="11">
        <v>4.1099999999999999E-3</v>
      </c>
      <c r="F53" s="1"/>
    </row>
    <row r="54" spans="1:6" x14ac:dyDescent="0.3">
      <c r="A54" s="9">
        <v>41365</v>
      </c>
      <c r="B54" s="5">
        <v>41373</v>
      </c>
      <c r="C54" s="6">
        <v>0.54166666666666663</v>
      </c>
      <c r="D54" s="7" t="str">
        <f t="shared" si="0"/>
        <v>UTC-4</v>
      </c>
      <c r="E54" s="11">
        <v>3.4199999999999999E-3</v>
      </c>
      <c r="F54" s="1"/>
    </row>
    <row r="55" spans="1:6" x14ac:dyDescent="0.3">
      <c r="A55" s="9">
        <v>41395</v>
      </c>
      <c r="B55" s="5">
        <v>41401</v>
      </c>
      <c r="C55" s="6">
        <v>0.54166666666666663</v>
      </c>
      <c r="D55" s="7" t="str">
        <f t="shared" si="0"/>
        <v>UTC-4</v>
      </c>
      <c r="E55" s="11">
        <v>3.5400000000000002E-3</v>
      </c>
      <c r="F55" s="1"/>
    </row>
    <row r="56" spans="1:6" x14ac:dyDescent="0.3">
      <c r="A56" s="9">
        <v>41426</v>
      </c>
      <c r="B56" s="5">
        <v>41436</v>
      </c>
      <c r="C56" s="6">
        <v>0.54166666666666663</v>
      </c>
      <c r="D56" s="7" t="str">
        <f t="shared" si="0"/>
        <v>UTC-4</v>
      </c>
      <c r="E56" s="11">
        <v>5.8100000000000001E-3</v>
      </c>
      <c r="F56" s="1"/>
    </row>
    <row r="57" spans="1:6" x14ac:dyDescent="0.3">
      <c r="A57" s="9">
        <v>41456</v>
      </c>
      <c r="B57" s="5">
        <v>41464</v>
      </c>
      <c r="C57" s="6">
        <v>0.54166666666666663</v>
      </c>
      <c r="D57" s="7" t="str">
        <f t="shared" si="0"/>
        <v>UTC-4</v>
      </c>
      <c r="E57" s="11">
        <v>7.1900000000000002E-3</v>
      </c>
      <c r="F57" s="1"/>
    </row>
    <row r="58" spans="1:6" x14ac:dyDescent="0.3">
      <c r="A58" s="9">
        <v>41487</v>
      </c>
      <c r="B58" s="5">
        <v>41492</v>
      </c>
      <c r="C58" s="6">
        <v>0.54166666666666663</v>
      </c>
      <c r="D58" s="7" t="str">
        <f t="shared" si="0"/>
        <v>UTC-4</v>
      </c>
      <c r="E58" s="11">
        <v>6.3099999999999996E-3</v>
      </c>
      <c r="F58" s="1"/>
    </row>
    <row r="59" spans="1:6" x14ac:dyDescent="0.3">
      <c r="A59" s="9">
        <v>41518</v>
      </c>
      <c r="B59" s="5">
        <v>41527</v>
      </c>
      <c r="C59" s="6">
        <v>0.54166666666666663</v>
      </c>
      <c r="D59" s="7" t="str">
        <f t="shared" si="0"/>
        <v>UTC-4</v>
      </c>
      <c r="E59" s="11">
        <v>9.1299999999999992E-3</v>
      </c>
      <c r="F59" s="1"/>
    </row>
    <row r="60" spans="1:6" x14ac:dyDescent="0.3">
      <c r="A60" s="9">
        <v>41548</v>
      </c>
      <c r="B60" s="5">
        <v>41555</v>
      </c>
      <c r="C60" s="6">
        <v>0.54166666666666663</v>
      </c>
      <c r="D60" s="7" t="str">
        <f t="shared" si="0"/>
        <v>UTC-4</v>
      </c>
      <c r="E60" s="11">
        <v>7.1000000000000004E-3</v>
      </c>
      <c r="F60" s="1"/>
    </row>
    <row r="61" spans="1:6" x14ac:dyDescent="0.3">
      <c r="A61" s="9">
        <v>41579</v>
      </c>
      <c r="B61" s="5">
        <v>41590</v>
      </c>
      <c r="C61" s="6">
        <v>0.54166666666666663</v>
      </c>
      <c r="D61" s="7" t="str">
        <f t="shared" si="0"/>
        <v>UTC-5</v>
      </c>
      <c r="E61" s="11">
        <v>6.4400000000000004E-3</v>
      </c>
      <c r="F61" s="1"/>
    </row>
    <row r="62" spans="1:6" x14ac:dyDescent="0.3">
      <c r="A62" s="9">
        <v>41609</v>
      </c>
      <c r="B62" s="5">
        <v>41618</v>
      </c>
      <c r="C62" s="6">
        <v>0.54166666666666663</v>
      </c>
      <c r="D62" s="7" t="str">
        <f t="shared" si="0"/>
        <v>UTC-5</v>
      </c>
      <c r="E62" s="11">
        <v>6.3099999999999996E-3</v>
      </c>
      <c r="F62" s="1"/>
    </row>
    <row r="63" spans="1:6" x14ac:dyDescent="0.3">
      <c r="A63" s="9">
        <v>41640</v>
      </c>
      <c r="B63" s="5">
        <v>41646</v>
      </c>
      <c r="C63" s="6">
        <v>0.54166666666666663</v>
      </c>
      <c r="D63" s="7" t="str">
        <f t="shared" si="0"/>
        <v>UTC-5</v>
      </c>
      <c r="E63" s="11">
        <v>7.9900000000000006E-3</v>
      </c>
      <c r="F63" s="1"/>
    </row>
    <row r="64" spans="1:6" x14ac:dyDescent="0.3">
      <c r="A64" s="9">
        <v>41671</v>
      </c>
      <c r="B64" s="5">
        <v>41681</v>
      </c>
      <c r="C64" s="6">
        <v>0.54166666666666663</v>
      </c>
      <c r="D64" s="7" t="str">
        <f t="shared" si="0"/>
        <v>UTC-5</v>
      </c>
      <c r="E64" s="11">
        <v>7.1500000000000001E-3</v>
      </c>
      <c r="F64" s="1"/>
    </row>
    <row r="65" spans="1:6" x14ac:dyDescent="0.3">
      <c r="A65" s="9">
        <v>41699</v>
      </c>
      <c r="B65" s="5">
        <v>41709</v>
      </c>
      <c r="C65" s="6">
        <v>0.54166666666666663</v>
      </c>
      <c r="D65" s="7" t="str">
        <f t="shared" si="0"/>
        <v>UTC-4</v>
      </c>
      <c r="E65" s="11">
        <v>8.0199999999999994E-3</v>
      </c>
      <c r="F65" s="1"/>
    </row>
    <row r="66" spans="1:6" x14ac:dyDescent="0.3">
      <c r="A66" s="9">
        <v>41730</v>
      </c>
      <c r="B66" s="5">
        <v>41737</v>
      </c>
      <c r="C66" s="6">
        <v>0.54166666666666663</v>
      </c>
      <c r="D66" s="7" t="str">
        <f t="shared" si="0"/>
        <v>UTC-4</v>
      </c>
      <c r="E66" s="11">
        <v>8.9499999999999996E-3</v>
      </c>
      <c r="F66" s="1"/>
    </row>
    <row r="67" spans="1:6" x14ac:dyDescent="0.3">
      <c r="A67" s="9">
        <v>41760</v>
      </c>
      <c r="B67" s="5">
        <v>41765</v>
      </c>
      <c r="C67" s="6">
        <v>0.54166666666666663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1">
        <v>9.2800000000000001E-3</v>
      </c>
      <c r="F67" s="1"/>
    </row>
    <row r="68" spans="1:6" x14ac:dyDescent="0.3">
      <c r="A68" s="9">
        <v>41791</v>
      </c>
      <c r="B68" s="5">
        <v>41800</v>
      </c>
      <c r="C68" s="6">
        <v>0.54166666666666663</v>
      </c>
      <c r="D68" s="7" t="str">
        <f t="shared" si="1"/>
        <v>UTC-4</v>
      </c>
      <c r="E68" s="11">
        <v>9.2999999999999992E-3</v>
      </c>
      <c r="F68" s="1"/>
    </row>
    <row r="69" spans="1:6" x14ac:dyDescent="0.3">
      <c r="A69" s="9">
        <v>41821</v>
      </c>
      <c r="B69" s="5">
        <v>41828</v>
      </c>
      <c r="C69" s="6">
        <v>0.54166666666666663</v>
      </c>
      <c r="D69" s="7" t="str">
        <f t="shared" si="1"/>
        <v>UTC-4</v>
      </c>
      <c r="E69" s="11">
        <v>9.92E-3</v>
      </c>
      <c r="F69" s="1"/>
    </row>
    <row r="70" spans="1:6" x14ac:dyDescent="0.3">
      <c r="A70" s="9">
        <v>41852</v>
      </c>
      <c r="B70" s="5">
        <v>41863</v>
      </c>
      <c r="C70" s="6">
        <v>0.54166666666666663</v>
      </c>
      <c r="D70" s="7" t="str">
        <f t="shared" si="1"/>
        <v>UTC-4</v>
      </c>
      <c r="E70" s="11">
        <v>9.2399999999999999E-3</v>
      </c>
      <c r="F70" s="1"/>
    </row>
    <row r="71" spans="1:6" x14ac:dyDescent="0.3">
      <c r="A71" s="9">
        <v>41883</v>
      </c>
      <c r="B71" s="5">
        <v>41891</v>
      </c>
      <c r="C71" s="6">
        <v>0.54166666666666663</v>
      </c>
      <c r="D71" s="7" t="str">
        <f t="shared" si="1"/>
        <v>UTC-4</v>
      </c>
      <c r="E71" s="11">
        <v>1.0659999999999999E-2</v>
      </c>
      <c r="F71" s="1"/>
    </row>
    <row r="72" spans="1:6" x14ac:dyDescent="0.3">
      <c r="A72" s="9">
        <v>41913</v>
      </c>
      <c r="B72" s="5">
        <v>41919</v>
      </c>
      <c r="C72" s="6">
        <v>0.54166666666666663</v>
      </c>
      <c r="D72" s="7" t="str">
        <f t="shared" si="1"/>
        <v>UTC-4</v>
      </c>
      <c r="E72" s="11">
        <v>9.9399999999999992E-3</v>
      </c>
      <c r="F72" s="1"/>
    </row>
    <row r="73" spans="1:6" x14ac:dyDescent="0.3">
      <c r="A73" s="9">
        <v>41944</v>
      </c>
      <c r="B73" s="5">
        <v>41953</v>
      </c>
      <c r="C73" s="6">
        <v>0.54166666666666663</v>
      </c>
      <c r="D73" s="7" t="str">
        <f t="shared" si="1"/>
        <v>UTC-5</v>
      </c>
      <c r="E73" s="11">
        <v>9.9799999999999993E-3</v>
      </c>
      <c r="F73" s="1"/>
    </row>
    <row r="74" spans="1:6" x14ac:dyDescent="0.3">
      <c r="A74" s="9">
        <v>41974</v>
      </c>
      <c r="B74" s="5">
        <v>41982</v>
      </c>
      <c r="C74" s="6">
        <v>0.54166666666666663</v>
      </c>
      <c r="D74" s="7" t="str">
        <f t="shared" si="1"/>
        <v>UTC-5</v>
      </c>
      <c r="E74" s="11">
        <v>1.0659999999999999E-2</v>
      </c>
      <c r="F74" s="1"/>
    </row>
    <row r="75" spans="1:6" x14ac:dyDescent="0.3">
      <c r="A75" s="9">
        <v>42005</v>
      </c>
      <c r="B75" s="5">
        <v>42016</v>
      </c>
      <c r="C75" s="6">
        <v>0.54166666666666663</v>
      </c>
      <c r="D75" s="7" t="str">
        <f t="shared" si="1"/>
        <v>UTC-5</v>
      </c>
      <c r="E75" s="11">
        <v>9.2599999999999991E-3</v>
      </c>
      <c r="F75" s="1"/>
    </row>
    <row r="76" spans="1:6" x14ac:dyDescent="0.3">
      <c r="A76" s="9">
        <v>42036</v>
      </c>
      <c r="B76" s="5">
        <v>42045</v>
      </c>
      <c r="C76" s="6">
        <v>0.54166666666666663</v>
      </c>
      <c r="D76" s="7" t="str">
        <f t="shared" si="1"/>
        <v>UTC-5</v>
      </c>
      <c r="E76" s="11">
        <v>1.0500000000000001E-2</v>
      </c>
      <c r="F76" s="1"/>
    </row>
    <row r="77" spans="1:6" x14ac:dyDescent="0.3">
      <c r="A77" s="9">
        <v>42064</v>
      </c>
      <c r="B77" s="5">
        <v>42073</v>
      </c>
      <c r="C77" s="6">
        <v>0.54166666666666663</v>
      </c>
      <c r="D77" s="7" t="str">
        <f t="shared" si="1"/>
        <v>UTC-4</v>
      </c>
      <c r="E77" s="11">
        <v>1.1039999999999999E-2</v>
      </c>
      <c r="F77" s="1"/>
    </row>
    <row r="78" spans="1:6" x14ac:dyDescent="0.3">
      <c r="A78" s="9">
        <v>42095</v>
      </c>
      <c r="B78" s="5">
        <v>42101</v>
      </c>
      <c r="C78" s="6">
        <v>0.54166666666666663</v>
      </c>
      <c r="D78" s="7" t="str">
        <f t="shared" si="1"/>
        <v>UTC-4</v>
      </c>
      <c r="E78" s="11">
        <v>8.6499999999999997E-3</v>
      </c>
      <c r="F78" s="1"/>
    </row>
    <row r="79" spans="1:6" x14ac:dyDescent="0.3">
      <c r="A79" s="9">
        <v>42125</v>
      </c>
      <c r="B79" s="5">
        <v>42136</v>
      </c>
      <c r="C79" s="6">
        <v>0.54166666666666663</v>
      </c>
      <c r="D79" s="7" t="str">
        <f t="shared" si="1"/>
        <v>UTC-4</v>
      </c>
      <c r="E79" s="11">
        <v>0.01</v>
      </c>
      <c r="F79" s="1"/>
    </row>
    <row r="80" spans="1:6" x14ac:dyDescent="0.3">
      <c r="A80" s="9">
        <v>42156</v>
      </c>
      <c r="B80" s="5">
        <v>42164</v>
      </c>
      <c r="C80" s="6">
        <v>0.54166666666666663</v>
      </c>
      <c r="D80" s="7" t="str">
        <f t="shared" si="1"/>
        <v>UTC-4</v>
      </c>
      <c r="E80" s="11">
        <v>1.125E-2</v>
      </c>
      <c r="F80" s="1"/>
    </row>
    <row r="81" spans="1:6" x14ac:dyDescent="0.3">
      <c r="A81" s="9">
        <v>42186</v>
      </c>
      <c r="B81" s="5">
        <v>42192</v>
      </c>
      <c r="C81" s="6">
        <v>0.54166666666666663</v>
      </c>
      <c r="D81" s="7" t="str">
        <f t="shared" si="1"/>
        <v>UTC-4</v>
      </c>
      <c r="E81" s="11">
        <v>9.3200000000000002E-3</v>
      </c>
      <c r="F81" s="1"/>
    </row>
    <row r="82" spans="1:6" x14ac:dyDescent="0.3">
      <c r="A82" s="9">
        <v>42217</v>
      </c>
      <c r="B82" s="5">
        <v>42227</v>
      </c>
      <c r="C82" s="6">
        <v>0.54166666666666663</v>
      </c>
      <c r="D82" s="7" t="str">
        <f t="shared" si="1"/>
        <v>UTC-4</v>
      </c>
      <c r="E82" s="11">
        <v>1.013E-2</v>
      </c>
      <c r="F82" s="1"/>
    </row>
    <row r="83" spans="1:6" x14ac:dyDescent="0.3">
      <c r="A83" s="9">
        <v>42248</v>
      </c>
      <c r="B83" s="5">
        <v>42255</v>
      </c>
      <c r="C83" s="6">
        <v>0.54166666666666663</v>
      </c>
      <c r="D83" s="7" t="str">
        <f t="shared" si="1"/>
        <v>UTC-4</v>
      </c>
      <c r="E83" s="11">
        <v>1.056E-2</v>
      </c>
      <c r="F83" s="1"/>
    </row>
    <row r="84" spans="1:6" x14ac:dyDescent="0.3">
      <c r="A84" s="9">
        <v>42278</v>
      </c>
      <c r="B84" s="5">
        <v>42283</v>
      </c>
      <c r="C84" s="6">
        <v>0.54166666666666663</v>
      </c>
      <c r="D84" s="7" t="str">
        <f t="shared" si="1"/>
        <v>UTC-4</v>
      </c>
      <c r="E84" s="11">
        <v>8.9499999999999996E-3</v>
      </c>
      <c r="F84" s="1"/>
    </row>
    <row r="85" spans="1:6" x14ac:dyDescent="0.3">
      <c r="A85" s="9">
        <v>42309</v>
      </c>
      <c r="B85" s="5">
        <v>42317</v>
      </c>
      <c r="C85" s="6">
        <v>0.54166666666666663</v>
      </c>
      <c r="D85" s="7" t="str">
        <f t="shared" si="1"/>
        <v>UTC-5</v>
      </c>
      <c r="E85" s="11">
        <v>1.2710000000000001E-2</v>
      </c>
      <c r="F85" s="1"/>
    </row>
    <row r="86" spans="1:6" x14ac:dyDescent="0.3">
      <c r="A86" s="9">
        <v>42339</v>
      </c>
      <c r="B86" s="5">
        <v>42346</v>
      </c>
      <c r="C86" s="6">
        <v>0.54166666666666663</v>
      </c>
      <c r="D86" s="7" t="str">
        <f t="shared" si="1"/>
        <v>UTC-5</v>
      </c>
      <c r="E86" s="11">
        <v>1.255E-2</v>
      </c>
      <c r="F86" s="1"/>
    </row>
    <row r="87" spans="1:6" x14ac:dyDescent="0.3">
      <c r="A87" s="9">
        <v>42370</v>
      </c>
      <c r="B87" s="5">
        <v>42381</v>
      </c>
      <c r="C87" s="6">
        <v>0.54166666666666663</v>
      </c>
      <c r="D87" s="7" t="str">
        <f t="shared" si="1"/>
        <v>UTC-5</v>
      </c>
      <c r="E87" s="11">
        <v>1.174E-2</v>
      </c>
      <c r="F87" s="1"/>
    </row>
    <row r="88" spans="1:6" x14ac:dyDescent="0.3">
      <c r="A88" s="9">
        <v>42401</v>
      </c>
      <c r="B88" s="5">
        <v>42409</v>
      </c>
      <c r="C88" s="6">
        <v>0.54166666666666663</v>
      </c>
      <c r="D88" s="7" t="str">
        <f t="shared" si="1"/>
        <v>UTC-5</v>
      </c>
      <c r="E88" s="11">
        <v>8.4399999999999996E-3</v>
      </c>
      <c r="F88" s="1"/>
    </row>
    <row r="89" spans="1:6" x14ac:dyDescent="0.3">
      <c r="A89" s="9">
        <v>42430</v>
      </c>
      <c r="B89" s="5">
        <v>42437</v>
      </c>
      <c r="C89" s="6">
        <v>0.54166666666666663</v>
      </c>
      <c r="D89" s="7" t="str">
        <f t="shared" si="1"/>
        <v>UTC-5</v>
      </c>
      <c r="E89" s="11">
        <v>1.039E-2</v>
      </c>
      <c r="F89" s="1"/>
    </row>
    <row r="90" spans="1:6" x14ac:dyDescent="0.3">
      <c r="A90" s="9">
        <v>42461</v>
      </c>
      <c r="B90" s="5">
        <v>42472</v>
      </c>
      <c r="C90" s="6">
        <v>0.54166666666666663</v>
      </c>
      <c r="D90" s="7" t="str">
        <f t="shared" si="1"/>
        <v>UTC-4</v>
      </c>
      <c r="E90" s="11">
        <v>8.8999999999999999E-3</v>
      </c>
      <c r="F90" s="1"/>
    </row>
    <row r="91" spans="1:6" x14ac:dyDescent="0.3">
      <c r="A91" s="9">
        <v>42491</v>
      </c>
      <c r="B91" s="5">
        <v>42500</v>
      </c>
      <c r="C91" s="6">
        <v>0.54166666666666663</v>
      </c>
      <c r="D91" s="7" t="str">
        <f t="shared" si="1"/>
        <v>UTC-4</v>
      </c>
      <c r="E91" s="11">
        <v>8.7500000000000008E-3</v>
      </c>
      <c r="F91" s="1"/>
    </row>
    <row r="92" spans="1:6" x14ac:dyDescent="0.3">
      <c r="A92" s="9">
        <v>42522</v>
      </c>
      <c r="B92" s="5">
        <v>42528</v>
      </c>
      <c r="C92" s="6">
        <v>0.54166666666666663</v>
      </c>
      <c r="D92" s="7" t="str">
        <f t="shared" si="1"/>
        <v>UTC-4</v>
      </c>
      <c r="E92" s="11">
        <v>9.2999999999999992E-3</v>
      </c>
      <c r="F92" s="1"/>
    </row>
    <row r="93" spans="1:6" x14ac:dyDescent="0.3">
      <c r="A93" s="9">
        <v>42552</v>
      </c>
      <c r="B93" s="5">
        <v>42562</v>
      </c>
      <c r="C93" s="6">
        <v>0.54166666666666663</v>
      </c>
      <c r="D93" s="7" t="str">
        <f t="shared" si="1"/>
        <v>UTC-4</v>
      </c>
      <c r="E93" s="11">
        <v>7.6499999999999997E-3</v>
      </c>
      <c r="F93" s="1"/>
    </row>
    <row r="94" spans="1:6" x14ac:dyDescent="0.3">
      <c r="A94" s="9">
        <v>42583</v>
      </c>
      <c r="B94" s="5">
        <v>42591</v>
      </c>
      <c r="C94" s="6">
        <v>0.54166666666666663</v>
      </c>
      <c r="D94" s="7" t="str">
        <f t="shared" si="1"/>
        <v>UTC-4</v>
      </c>
      <c r="E94" s="11">
        <v>8.5000000000000006E-3</v>
      </c>
      <c r="F94" s="1"/>
    </row>
    <row r="95" spans="1:6" x14ac:dyDescent="0.3">
      <c r="A95" s="9">
        <v>42614</v>
      </c>
      <c r="B95" s="5">
        <v>42625</v>
      </c>
      <c r="C95" s="6">
        <v>0.54166666666666663</v>
      </c>
      <c r="D95" s="7" t="str">
        <f t="shared" si="1"/>
        <v>UTC-4</v>
      </c>
      <c r="E95" s="11">
        <v>9.4699999999999993E-3</v>
      </c>
      <c r="F95" s="1"/>
    </row>
    <row r="96" spans="1:6" x14ac:dyDescent="0.3">
      <c r="A96" s="9">
        <v>42644</v>
      </c>
      <c r="B96" s="5">
        <v>42655</v>
      </c>
      <c r="C96" s="6">
        <v>0.48958333333333331</v>
      </c>
      <c r="D96" s="7" t="str">
        <f t="shared" si="1"/>
        <v>UTC-4</v>
      </c>
      <c r="E96" s="11">
        <v>1.0449999999999999E-2</v>
      </c>
      <c r="F96" s="1"/>
    </row>
    <row r="97" spans="1:6" x14ac:dyDescent="0.3">
      <c r="A97" s="9">
        <v>42675</v>
      </c>
      <c r="B97" s="5">
        <v>42682</v>
      </c>
      <c r="C97" s="6">
        <v>0.54166666666666663</v>
      </c>
      <c r="D97" s="7" t="str">
        <f t="shared" si="1"/>
        <v>UTC-5</v>
      </c>
      <c r="E97" s="11">
        <v>1.034E-2</v>
      </c>
      <c r="F97" s="1"/>
    </row>
    <row r="98" spans="1:6" x14ac:dyDescent="0.3">
      <c r="A98" s="9">
        <v>42705</v>
      </c>
      <c r="B98" s="5">
        <v>42716</v>
      </c>
      <c r="C98" s="6">
        <v>0.54166666666666663</v>
      </c>
      <c r="D98" s="7" t="str">
        <f t="shared" si="1"/>
        <v>UTC-5</v>
      </c>
      <c r="E98" s="11">
        <v>1.452E-2</v>
      </c>
      <c r="F98" s="1"/>
    </row>
    <row r="99" spans="1:6" x14ac:dyDescent="0.3">
      <c r="A99" s="9">
        <v>42736</v>
      </c>
      <c r="B99" s="5">
        <v>42745</v>
      </c>
      <c r="C99" s="6">
        <v>0.54166666666666663</v>
      </c>
      <c r="D99" s="7" t="str">
        <f t="shared" si="1"/>
        <v>UTC-5</v>
      </c>
      <c r="E99" s="11">
        <v>1.472E-2</v>
      </c>
      <c r="F99" s="1"/>
    </row>
    <row r="100" spans="1:6" x14ac:dyDescent="0.3">
      <c r="A100" s="9">
        <v>42767</v>
      </c>
      <c r="B100" s="5">
        <v>42773</v>
      </c>
      <c r="C100" s="6">
        <v>0.54166666666666663</v>
      </c>
      <c r="D100" s="7" t="str">
        <f t="shared" si="1"/>
        <v>UTC-5</v>
      </c>
      <c r="E100" s="11">
        <v>1.423E-2</v>
      </c>
      <c r="F100" s="1"/>
    </row>
    <row r="101" spans="1:6" x14ac:dyDescent="0.3">
      <c r="A101" s="9">
        <v>42795</v>
      </c>
      <c r="B101" s="5">
        <v>42801</v>
      </c>
      <c r="C101" s="6">
        <v>0.54166666666666663</v>
      </c>
      <c r="D101" s="7" t="str">
        <f t="shared" si="1"/>
        <v>UTC-5</v>
      </c>
      <c r="E101" s="11">
        <v>1.6299999999999999E-2</v>
      </c>
      <c r="F101" s="1"/>
    </row>
    <row r="102" spans="1:6" x14ac:dyDescent="0.3">
      <c r="A102" s="9">
        <v>42826</v>
      </c>
      <c r="B102" s="5">
        <v>42835</v>
      </c>
      <c r="C102" s="6">
        <v>0.54166666666666663</v>
      </c>
      <c r="D102" s="7" t="str">
        <f t="shared" si="1"/>
        <v>UTC-4</v>
      </c>
      <c r="E102" s="11">
        <v>1.525E-2</v>
      </c>
      <c r="F102" s="1"/>
    </row>
    <row r="103" spans="1:6" x14ac:dyDescent="0.3">
      <c r="A103" s="9">
        <v>42856</v>
      </c>
      <c r="B103" s="5">
        <v>42864</v>
      </c>
      <c r="C103" s="6">
        <v>0.54166666666666663</v>
      </c>
      <c r="D103" s="7" t="str">
        <f t="shared" si="1"/>
        <v>UTC-4</v>
      </c>
      <c r="E103" s="11">
        <v>1.5720000000000001E-2</v>
      </c>
      <c r="F103" s="1"/>
    </row>
    <row r="104" spans="1:6" x14ac:dyDescent="0.3">
      <c r="A104" s="9">
        <v>42887</v>
      </c>
      <c r="B104" s="5">
        <v>42898</v>
      </c>
      <c r="C104" s="6">
        <v>0.54166666666666663</v>
      </c>
      <c r="D104" s="7" t="str">
        <f t="shared" si="1"/>
        <v>UTC-4</v>
      </c>
      <c r="E104" s="11">
        <v>1.4999999999999999E-2</v>
      </c>
      <c r="F104" s="1"/>
    </row>
    <row r="105" spans="1:6" x14ac:dyDescent="0.3">
      <c r="A105" s="9">
        <v>42917</v>
      </c>
      <c r="B105" s="5">
        <v>42927</v>
      </c>
      <c r="C105" s="6">
        <v>0.54166666666666663</v>
      </c>
      <c r="D105" s="7" t="str">
        <f t="shared" si="1"/>
        <v>UTC-4</v>
      </c>
      <c r="E105" s="11">
        <v>1.5730000000000001E-2</v>
      </c>
      <c r="F105" s="1"/>
    </row>
    <row r="106" spans="1:6" x14ac:dyDescent="0.3">
      <c r="A106" s="9">
        <v>42948</v>
      </c>
      <c r="B106" s="5">
        <v>42955</v>
      </c>
      <c r="C106" s="6">
        <v>0.54166666666666663</v>
      </c>
      <c r="D106" s="7" t="str">
        <f t="shared" si="1"/>
        <v>UTC-4</v>
      </c>
      <c r="E106" s="11">
        <v>1.52E-2</v>
      </c>
      <c r="F106" s="1"/>
    </row>
    <row r="107" spans="1:6" x14ac:dyDescent="0.3">
      <c r="A107" s="9">
        <v>42979</v>
      </c>
      <c r="B107" s="5">
        <v>42989</v>
      </c>
      <c r="C107" s="6">
        <v>0.54166666666666663</v>
      </c>
      <c r="D107" s="7" t="str">
        <f t="shared" si="1"/>
        <v>UTC-4</v>
      </c>
      <c r="E107" s="11">
        <v>1.4330000000000001E-2</v>
      </c>
      <c r="F107" s="1"/>
    </row>
    <row r="108" spans="1:6" x14ac:dyDescent="0.3">
      <c r="A108" s="9">
        <v>43009</v>
      </c>
      <c r="B108" s="5">
        <v>43019</v>
      </c>
      <c r="C108" s="6">
        <v>0.54166666666666663</v>
      </c>
      <c r="D108" s="7" t="str">
        <f t="shared" si="1"/>
        <v>UTC-4</v>
      </c>
      <c r="E108" s="11">
        <v>1.6570000000000001E-2</v>
      </c>
      <c r="F108" s="1"/>
    </row>
    <row r="109" spans="1:6" x14ac:dyDescent="0.3">
      <c r="A109" s="9">
        <v>43040</v>
      </c>
      <c r="B109" s="5">
        <v>43046</v>
      </c>
      <c r="C109" s="6">
        <v>0.54166666666666663</v>
      </c>
      <c r="D109" s="7" t="str">
        <f t="shared" si="1"/>
        <v>UTC-5</v>
      </c>
      <c r="E109" s="11">
        <v>1.7500000000000002E-2</v>
      </c>
      <c r="F109" s="1"/>
    </row>
    <row r="110" spans="1:6" x14ac:dyDescent="0.3">
      <c r="A110" s="9">
        <v>43070</v>
      </c>
      <c r="B110" s="5">
        <v>43080</v>
      </c>
      <c r="C110" s="6">
        <v>0.54166666666666663</v>
      </c>
      <c r="D110" s="7" t="str">
        <f t="shared" si="1"/>
        <v>UTC-5</v>
      </c>
      <c r="E110" s="11">
        <v>1.932E-2</v>
      </c>
      <c r="F110" s="1"/>
    </row>
    <row r="111" spans="1:6" x14ac:dyDescent="0.3">
      <c r="A111" s="9">
        <v>43101</v>
      </c>
      <c r="B111" s="5">
        <v>43109</v>
      </c>
      <c r="C111" s="6">
        <v>0.54166666666666663</v>
      </c>
      <c r="D111" s="7" t="str">
        <f t="shared" si="1"/>
        <v>UTC-5</v>
      </c>
      <c r="E111" s="11">
        <v>2.0799999999999999E-2</v>
      </c>
      <c r="F111" s="1"/>
    </row>
    <row r="112" spans="1:6" x14ac:dyDescent="0.3">
      <c r="A112" s="9">
        <v>43132</v>
      </c>
      <c r="B112" s="5">
        <v>43137</v>
      </c>
      <c r="C112" s="6">
        <v>0.54166666666666663</v>
      </c>
      <c r="D112" s="7" t="str">
        <f t="shared" si="1"/>
        <v>UTC-5</v>
      </c>
      <c r="E112" s="11">
        <v>2.2800000000000001E-2</v>
      </c>
      <c r="F112" s="1"/>
    </row>
    <row r="113" spans="1:6" x14ac:dyDescent="0.3">
      <c r="A113" s="9">
        <v>43160</v>
      </c>
      <c r="B113" s="5">
        <v>43171</v>
      </c>
      <c r="C113" s="6">
        <v>0.47916666666666669</v>
      </c>
      <c r="D113" s="7" t="str">
        <f t="shared" si="1"/>
        <v>UTC-4</v>
      </c>
      <c r="E113" s="11">
        <v>2.436E-2</v>
      </c>
      <c r="F113" s="1"/>
    </row>
    <row r="114" spans="1:6" x14ac:dyDescent="0.3">
      <c r="A114" s="9">
        <v>43191</v>
      </c>
      <c r="B114" s="5">
        <v>43200</v>
      </c>
      <c r="C114" s="6">
        <v>0.54166666666666663</v>
      </c>
      <c r="D114" s="7" t="str">
        <f t="shared" si="1"/>
        <v>UTC-4</v>
      </c>
      <c r="E114" s="11">
        <v>2.4500000000000001E-2</v>
      </c>
      <c r="F114" s="1"/>
    </row>
    <row r="115" spans="1:6" x14ac:dyDescent="0.3">
      <c r="A115" s="9">
        <v>43221</v>
      </c>
      <c r="B115" s="5">
        <v>43228</v>
      </c>
      <c r="C115" s="6">
        <v>0.54166666666666663</v>
      </c>
      <c r="D115" s="7" t="str">
        <f t="shared" si="1"/>
        <v>UTC-4</v>
      </c>
      <c r="E115" s="11">
        <v>2.664E-2</v>
      </c>
      <c r="F115" s="1"/>
    </row>
    <row r="116" spans="1:6" x14ac:dyDescent="0.3">
      <c r="A116" s="9">
        <v>43252</v>
      </c>
      <c r="B116" s="5">
        <v>43262</v>
      </c>
      <c r="C116" s="6">
        <v>0.54166666666666663</v>
      </c>
      <c r="D116" s="7" t="str">
        <f t="shared" si="1"/>
        <v>UTC-4</v>
      </c>
      <c r="E116" s="11">
        <v>2.664E-2</v>
      </c>
      <c r="F116" s="1"/>
    </row>
    <row r="117" spans="1:6" x14ac:dyDescent="0.3">
      <c r="A117" s="9">
        <v>43282</v>
      </c>
      <c r="B117" s="5">
        <v>43291</v>
      </c>
      <c r="C117" s="6">
        <v>0.54166666666666663</v>
      </c>
      <c r="D117" s="7" t="str">
        <f t="shared" si="1"/>
        <v>UTC-4</v>
      </c>
      <c r="E117" s="11">
        <v>2.6849999999999999E-2</v>
      </c>
      <c r="F117" s="1"/>
    </row>
    <row r="118" spans="1:6" x14ac:dyDescent="0.3">
      <c r="A118" s="9">
        <v>43313</v>
      </c>
      <c r="B118" s="5">
        <v>43319</v>
      </c>
      <c r="C118" s="6">
        <v>0.54166666666666663</v>
      </c>
      <c r="D118" s="7" t="str">
        <f t="shared" si="1"/>
        <v>UTC-4</v>
      </c>
      <c r="E118" s="11">
        <v>2.7650000000000001E-2</v>
      </c>
      <c r="F118" s="1"/>
    </row>
    <row r="119" spans="1:6" x14ac:dyDescent="0.3">
      <c r="A119" s="9">
        <v>43344</v>
      </c>
      <c r="B119" s="5">
        <v>43354</v>
      </c>
      <c r="C119" s="6">
        <v>0.54166666666666663</v>
      </c>
      <c r="D119" s="7" t="str">
        <f t="shared" si="1"/>
        <v>UTC-4</v>
      </c>
      <c r="E119" s="11">
        <v>2.8209999999999999E-2</v>
      </c>
      <c r="F119" s="1"/>
    </row>
    <row r="120" spans="1:6" x14ac:dyDescent="0.3">
      <c r="A120" s="9">
        <v>43374</v>
      </c>
      <c r="B120" s="5">
        <v>43383</v>
      </c>
      <c r="C120" s="6">
        <v>0.54166666666666663</v>
      </c>
      <c r="D120" s="7" t="str">
        <f t="shared" si="1"/>
        <v>UTC-4</v>
      </c>
      <c r="E120" s="11">
        <v>2.989E-2</v>
      </c>
      <c r="F120" s="1"/>
    </row>
    <row r="121" spans="1:6" x14ac:dyDescent="0.3">
      <c r="A121" s="9">
        <v>43405</v>
      </c>
      <c r="B121" s="5">
        <v>43409</v>
      </c>
      <c r="C121" s="6">
        <v>0.54166666666666663</v>
      </c>
      <c r="D121" s="7" t="str">
        <f t="shared" si="1"/>
        <v>UTC-5</v>
      </c>
      <c r="E121" s="11">
        <v>2.9829999999999999E-2</v>
      </c>
      <c r="F121" s="1"/>
    </row>
    <row r="122" spans="1:6" x14ac:dyDescent="0.3">
      <c r="A122" s="9">
        <v>43435</v>
      </c>
      <c r="B122" s="5">
        <v>43445</v>
      </c>
      <c r="C122" s="6">
        <v>0.54166666666666663</v>
      </c>
      <c r="D122" s="7" t="str">
        <f t="shared" si="1"/>
        <v>UTC-5</v>
      </c>
      <c r="E122" s="11">
        <v>2.7480000000000001E-2</v>
      </c>
      <c r="F122" s="1"/>
    </row>
    <row r="123" spans="1:6" x14ac:dyDescent="0.3">
      <c r="A123" s="9">
        <v>43466</v>
      </c>
      <c r="B123" s="5">
        <v>43473</v>
      </c>
      <c r="C123" s="6">
        <v>0.54166666666666663</v>
      </c>
      <c r="D123" s="7" t="str">
        <f t="shared" si="1"/>
        <v>UTC-5</v>
      </c>
      <c r="E123" s="11">
        <v>2.5590000000000002E-2</v>
      </c>
      <c r="F123" s="1"/>
    </row>
    <row r="124" spans="1:6" x14ac:dyDescent="0.3">
      <c r="A124" s="9">
        <v>43497</v>
      </c>
      <c r="B124" s="5">
        <v>43501</v>
      </c>
      <c r="C124" s="6">
        <v>0.54166666666666663</v>
      </c>
      <c r="D124" s="7" t="str">
        <f t="shared" si="1"/>
        <v>UTC-5</v>
      </c>
      <c r="E124" s="11">
        <v>2.5020000000000001E-2</v>
      </c>
      <c r="F124" s="1"/>
    </row>
    <row r="125" spans="1:6" x14ac:dyDescent="0.3">
      <c r="A125" s="9">
        <v>43525</v>
      </c>
      <c r="B125" s="5">
        <v>43535</v>
      </c>
      <c r="C125" s="6">
        <v>0.54166666666666663</v>
      </c>
      <c r="D125" s="7" t="str">
        <f t="shared" si="1"/>
        <v>UTC-4</v>
      </c>
      <c r="E125" s="11">
        <v>2.4479999999999998E-2</v>
      </c>
      <c r="F125" s="1"/>
    </row>
    <row r="126" spans="1:6" x14ac:dyDescent="0.3">
      <c r="A126" s="9">
        <v>43556</v>
      </c>
      <c r="B126" s="5">
        <v>43564</v>
      </c>
      <c r="C126" s="6">
        <v>0.54166666666666663</v>
      </c>
      <c r="D126" s="7" t="str">
        <f t="shared" si="1"/>
        <v>UTC-4</v>
      </c>
      <c r="E126" s="11">
        <v>2.3009999999999999E-2</v>
      </c>
      <c r="F126" s="1"/>
    </row>
    <row r="127" spans="1:6" x14ac:dyDescent="0.3">
      <c r="A127" s="9">
        <v>43586</v>
      </c>
      <c r="B127" s="5">
        <v>43592</v>
      </c>
      <c r="C127" s="6">
        <v>0.54166666666666663</v>
      </c>
      <c r="D127" s="7" t="str">
        <f t="shared" si="1"/>
        <v>UTC-4</v>
      </c>
      <c r="E127" s="11">
        <v>2.248E-2</v>
      </c>
      <c r="F127" s="1"/>
    </row>
    <row r="128" spans="1:6" x14ac:dyDescent="0.3">
      <c r="A128" s="9">
        <v>43617</v>
      </c>
      <c r="B128" s="5">
        <v>43627</v>
      </c>
      <c r="C128" s="6">
        <v>0.54166666666666663</v>
      </c>
      <c r="D128" s="7" t="str">
        <f t="shared" si="1"/>
        <v>UTC-4</v>
      </c>
      <c r="E128" s="11">
        <v>1.8610000000000002E-2</v>
      </c>
      <c r="F128" s="1"/>
    </row>
    <row r="129" spans="1:6" x14ac:dyDescent="0.3">
      <c r="A129" s="9">
        <v>43647</v>
      </c>
      <c r="B129" s="5">
        <v>43655</v>
      </c>
      <c r="C129" s="6">
        <v>0.54166666666666663</v>
      </c>
      <c r="D129" s="7" t="str">
        <f t="shared" si="1"/>
        <v>UTC-4</v>
      </c>
      <c r="E129" s="11">
        <v>1.857E-2</v>
      </c>
      <c r="F129" s="1"/>
    </row>
    <row r="130" spans="1:6" x14ac:dyDescent="0.3">
      <c r="A130" s="9">
        <v>43678</v>
      </c>
      <c r="B130" s="5">
        <v>43683</v>
      </c>
      <c r="C130" s="6">
        <v>0.54166666666666663</v>
      </c>
      <c r="D130" s="7" t="str">
        <f t="shared" si="1"/>
        <v>UTC-4</v>
      </c>
      <c r="E130" s="11">
        <v>1.562E-2</v>
      </c>
      <c r="F130" s="1"/>
    </row>
    <row r="131" spans="1:6" x14ac:dyDescent="0.3">
      <c r="A131" s="9">
        <v>43709</v>
      </c>
      <c r="B131" s="5">
        <v>43718</v>
      </c>
      <c r="C131" s="6">
        <v>0.54166666666666663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1.5730000000000001E-2</v>
      </c>
      <c r="F131" s="1"/>
    </row>
    <row r="132" spans="1:6" x14ac:dyDescent="0.3">
      <c r="A132" s="9">
        <v>43739</v>
      </c>
      <c r="B132" s="5">
        <v>43746</v>
      </c>
      <c r="C132" s="6">
        <v>0.54166666666666663</v>
      </c>
      <c r="D132" s="7" t="str">
        <f t="shared" si="2"/>
        <v>UTC-4</v>
      </c>
      <c r="E132" s="11">
        <v>1.413E-2</v>
      </c>
      <c r="F132" s="1"/>
    </row>
    <row r="133" spans="1:6" x14ac:dyDescent="0.3">
      <c r="A133" s="9">
        <v>43770</v>
      </c>
      <c r="B133" s="5">
        <v>43774</v>
      </c>
      <c r="C133" s="6">
        <v>0.54166666666666663</v>
      </c>
      <c r="D133" s="7" t="str">
        <f t="shared" si="2"/>
        <v>UTC-5</v>
      </c>
      <c r="E133" s="11">
        <v>1.6299999999999999E-2</v>
      </c>
      <c r="F133" s="1"/>
    </row>
    <row r="134" spans="1:6" x14ac:dyDescent="0.3">
      <c r="A134" s="9">
        <v>43800</v>
      </c>
      <c r="B134" s="5">
        <v>43808</v>
      </c>
      <c r="C134" s="6">
        <v>0.54166666666666663</v>
      </c>
      <c r="D134" s="7" t="str">
        <f t="shared" si="2"/>
        <v>UTC-5</v>
      </c>
      <c r="E134" s="11">
        <v>1.6320000000000001E-2</v>
      </c>
      <c r="F134" s="1"/>
    </row>
    <row r="135" spans="1:6" x14ac:dyDescent="0.3">
      <c r="A135" s="9">
        <v>43831</v>
      </c>
      <c r="B135" s="5">
        <v>43837</v>
      </c>
      <c r="C135" s="6">
        <v>0.54166666666666663</v>
      </c>
      <c r="D135" s="7" t="str">
        <f t="shared" si="2"/>
        <v>UTC-5</v>
      </c>
      <c r="E135" s="11">
        <v>1.567E-2</v>
      </c>
      <c r="F135" s="1"/>
    </row>
    <row r="136" spans="1:6" x14ac:dyDescent="0.3">
      <c r="A136" s="9">
        <v>43862</v>
      </c>
      <c r="B136" s="5">
        <v>43872</v>
      </c>
      <c r="C136" s="6">
        <v>0.54166666666666663</v>
      </c>
      <c r="D136" s="7" t="str">
        <f t="shared" si="2"/>
        <v>UTC-5</v>
      </c>
      <c r="E136" s="11">
        <v>1.3939999999999999E-2</v>
      </c>
      <c r="F136" s="1"/>
    </row>
    <row r="137" spans="1:6" x14ac:dyDescent="0.3">
      <c r="A137" s="9">
        <v>43891</v>
      </c>
      <c r="B137" s="5">
        <v>43900</v>
      </c>
      <c r="C137" s="6">
        <v>0.54166666666666663</v>
      </c>
      <c r="D137" s="7" t="str">
        <f t="shared" si="2"/>
        <v>UTC-4</v>
      </c>
      <c r="E137" s="11">
        <v>5.6299999999999996E-3</v>
      </c>
      <c r="F137" s="1"/>
    </row>
    <row r="138" spans="1:6" x14ac:dyDescent="0.3">
      <c r="A138" s="9">
        <v>43922</v>
      </c>
      <c r="B138" s="5">
        <v>43928</v>
      </c>
      <c r="C138" s="6">
        <v>0.54166666666666663</v>
      </c>
      <c r="D138" s="7" t="str">
        <f t="shared" si="2"/>
        <v>UTC-4</v>
      </c>
      <c r="E138" s="11">
        <v>3.48E-3</v>
      </c>
      <c r="F138" s="1"/>
    </row>
    <row r="139" spans="1:6" x14ac:dyDescent="0.3">
      <c r="A139" s="9">
        <v>43952</v>
      </c>
      <c r="B139" s="5">
        <v>43962</v>
      </c>
      <c r="C139" s="6">
        <v>0.54166666666666663</v>
      </c>
      <c r="D139" s="7" t="str">
        <f t="shared" si="2"/>
        <v>UTC-4</v>
      </c>
      <c r="E139" s="11">
        <v>2.3E-3</v>
      </c>
      <c r="F139" s="1"/>
    </row>
    <row r="140" spans="1:6" x14ac:dyDescent="0.3">
      <c r="A140" s="9">
        <v>43983</v>
      </c>
      <c r="B140" s="5">
        <v>43990</v>
      </c>
      <c r="C140" s="6">
        <v>0.54166666666666663</v>
      </c>
      <c r="D140" s="7" t="str">
        <f t="shared" si="2"/>
        <v>UTC-4</v>
      </c>
      <c r="E140" s="11">
        <v>2.8E-3</v>
      </c>
      <c r="F140" s="1"/>
    </row>
    <row r="141" spans="1:6" x14ac:dyDescent="0.3">
      <c r="A141" s="9">
        <v>44013</v>
      </c>
      <c r="B141" s="5">
        <v>44019</v>
      </c>
      <c r="C141" s="6">
        <v>0.54166666666666663</v>
      </c>
      <c r="D141" s="7" t="str">
        <f t="shared" si="2"/>
        <v>UTC-4</v>
      </c>
      <c r="E141" s="11">
        <v>1.9E-3</v>
      </c>
      <c r="F141" s="1"/>
    </row>
    <row r="142" spans="1:6" x14ac:dyDescent="0.3">
      <c r="A142" s="9">
        <v>44044</v>
      </c>
      <c r="B142" s="5">
        <v>44054</v>
      </c>
      <c r="C142" s="6">
        <v>0.54166666666666663</v>
      </c>
      <c r="D142" s="7" t="str">
        <f t="shared" si="2"/>
        <v>UTC-4</v>
      </c>
      <c r="E142" s="11">
        <v>1.7899999999999999E-3</v>
      </c>
      <c r="F142" s="1"/>
    </row>
    <row r="143" spans="1:6" x14ac:dyDescent="0.3">
      <c r="A143" s="9">
        <v>44075</v>
      </c>
      <c r="B143" s="5">
        <v>44082</v>
      </c>
      <c r="C143" s="6">
        <v>0.54166666666666663</v>
      </c>
      <c r="D143" s="7" t="str">
        <f t="shared" si="2"/>
        <v>UTC-4</v>
      </c>
      <c r="E143" s="11">
        <v>1.6999999999999999E-3</v>
      </c>
      <c r="F143" s="1"/>
    </row>
    <row r="144" spans="1:6" x14ac:dyDescent="0.3">
      <c r="A144" s="9">
        <v>44105</v>
      </c>
      <c r="B144" s="5">
        <v>44110</v>
      </c>
      <c r="C144" s="6">
        <v>0.54166666666666663</v>
      </c>
      <c r="D144" s="7" t="str">
        <f t="shared" si="2"/>
        <v>UTC-4</v>
      </c>
      <c r="E144" s="11">
        <v>1.9300000000000001E-3</v>
      </c>
      <c r="F144" s="1"/>
    </row>
    <row r="145" spans="1:6" x14ac:dyDescent="0.3">
      <c r="A145" s="9">
        <v>44136</v>
      </c>
      <c r="B145" s="5">
        <v>44144</v>
      </c>
      <c r="C145" s="6">
        <v>0.54166666666666663</v>
      </c>
      <c r="D145" s="7" t="str">
        <f t="shared" si="2"/>
        <v>UTC-5</v>
      </c>
      <c r="E145" s="11">
        <v>2.5000000000000001E-3</v>
      </c>
      <c r="F145" s="1"/>
    </row>
    <row r="146" spans="1:6" x14ac:dyDescent="0.3">
      <c r="A146" s="9">
        <v>44166</v>
      </c>
      <c r="B146" s="5">
        <v>44173</v>
      </c>
      <c r="C146" s="6">
        <v>0.54166666666666663</v>
      </c>
      <c r="D146" s="7" t="str">
        <f t="shared" si="2"/>
        <v>UTC-5</v>
      </c>
      <c r="E146" s="11">
        <v>2.1099999999999999E-3</v>
      </c>
      <c r="F146" s="1"/>
    </row>
    <row r="147" spans="1:6" x14ac:dyDescent="0.3">
      <c r="A147" s="9">
        <v>44197</v>
      </c>
      <c r="B147" s="5">
        <v>44207</v>
      </c>
      <c r="C147" s="6">
        <v>0.54166666666666663</v>
      </c>
      <c r="D147" s="7" t="str">
        <f t="shared" si="2"/>
        <v>UTC-5</v>
      </c>
      <c r="E147" s="11">
        <v>2.3400000000000001E-3</v>
      </c>
      <c r="F147" s="1"/>
    </row>
    <row r="148" spans="1:6" x14ac:dyDescent="0.3">
      <c r="A148" s="9">
        <v>44228</v>
      </c>
      <c r="B148" s="5">
        <v>44236</v>
      </c>
      <c r="C148" s="6">
        <v>0.54166666666666663</v>
      </c>
      <c r="D148" s="7" t="str">
        <f t="shared" si="2"/>
        <v>UTC-5</v>
      </c>
      <c r="E148" s="11">
        <v>1.9599999999999999E-3</v>
      </c>
      <c r="F148" s="1"/>
    </row>
    <row r="149" spans="1:6" x14ac:dyDescent="0.3">
      <c r="A149" s="9">
        <v>44256</v>
      </c>
      <c r="B149" s="5">
        <v>44264</v>
      </c>
      <c r="C149" s="6">
        <v>0.54166666666666663</v>
      </c>
      <c r="D149" s="7" t="str">
        <f t="shared" si="2"/>
        <v>UTC-5</v>
      </c>
      <c r="E149" s="11">
        <v>3.5500000000000002E-3</v>
      </c>
      <c r="F149" s="1"/>
    </row>
    <row r="150" spans="1:6" x14ac:dyDescent="0.3">
      <c r="A150" s="9">
        <v>44287</v>
      </c>
      <c r="B150" s="5">
        <v>44298</v>
      </c>
      <c r="C150" s="6">
        <v>0.47916666666666669</v>
      </c>
      <c r="D150" s="7" t="str">
        <f t="shared" si="2"/>
        <v>UTC-4</v>
      </c>
      <c r="E150" s="11">
        <v>3.7599999999999999E-3</v>
      </c>
      <c r="F150" s="1"/>
    </row>
    <row r="151" spans="1:6" x14ac:dyDescent="0.3">
      <c r="A151" s="9">
        <v>44317</v>
      </c>
      <c r="B151" s="5">
        <v>44327</v>
      </c>
      <c r="C151" s="6">
        <v>0.54166666666666663</v>
      </c>
      <c r="D151" s="7" t="str">
        <f t="shared" si="2"/>
        <v>UTC-4</v>
      </c>
      <c r="E151" s="11">
        <v>3.29E-3</v>
      </c>
      <c r="F151" s="1"/>
    </row>
    <row r="152" spans="1:6" x14ac:dyDescent="0.3">
      <c r="A152" s="9">
        <v>44348</v>
      </c>
      <c r="B152" s="5">
        <v>44355</v>
      </c>
      <c r="C152" s="6">
        <v>0.54166666666666663</v>
      </c>
      <c r="D152" s="7" t="str">
        <f t="shared" si="2"/>
        <v>UTC-4</v>
      </c>
      <c r="E152" s="11">
        <v>3.2499999999999999E-3</v>
      </c>
      <c r="F152" s="1"/>
    </row>
    <row r="153" spans="1:6" x14ac:dyDescent="0.3">
      <c r="A153" s="9">
        <v>44378</v>
      </c>
      <c r="B153" s="5">
        <v>44389</v>
      </c>
      <c r="C153" s="6">
        <v>0.47916666666666669</v>
      </c>
      <c r="D153" s="7" t="str">
        <f t="shared" si="2"/>
        <v>UTC-4</v>
      </c>
      <c r="E153" s="11">
        <v>4.2599999999999999E-3</v>
      </c>
      <c r="F153" s="1"/>
    </row>
    <row r="154" spans="1:6" x14ac:dyDescent="0.3">
      <c r="A154" s="9">
        <v>44409</v>
      </c>
      <c r="B154" s="5">
        <v>44418</v>
      </c>
      <c r="C154" s="6">
        <v>0.54166666666666663</v>
      </c>
      <c r="D154" s="7" t="str">
        <f t="shared" si="2"/>
        <v>UTC-4</v>
      </c>
      <c r="E154" s="11">
        <v>4.6499999999999996E-3</v>
      </c>
      <c r="F154" s="1"/>
    </row>
    <row r="155" spans="1:6" x14ac:dyDescent="0.3">
      <c r="A155" s="9">
        <v>44440</v>
      </c>
      <c r="B155" s="5">
        <v>44446</v>
      </c>
      <c r="C155" s="6">
        <v>0.54166666666666663</v>
      </c>
      <c r="D155" s="7" t="str">
        <f t="shared" si="2"/>
        <v>UTC-4</v>
      </c>
      <c r="E155" s="11">
        <v>4.47E-3</v>
      </c>
      <c r="F155" s="1"/>
    </row>
    <row r="156" spans="1:6" x14ac:dyDescent="0.3">
      <c r="A156" s="9">
        <v>44470</v>
      </c>
      <c r="B156" s="5">
        <v>44481</v>
      </c>
      <c r="C156" s="6">
        <v>0.47916666666666669</v>
      </c>
      <c r="D156" s="7" t="str">
        <f t="shared" si="2"/>
        <v>UTC-4</v>
      </c>
      <c r="E156" s="11">
        <v>6.3499999999999997E-3</v>
      </c>
      <c r="F156" s="1"/>
    </row>
    <row r="157" spans="1:6" x14ac:dyDescent="0.3">
      <c r="A157" s="9">
        <v>44501</v>
      </c>
      <c r="B157" s="5">
        <v>44508</v>
      </c>
      <c r="C157" s="6">
        <v>0.54166666666666663</v>
      </c>
      <c r="D157" s="7" t="str">
        <f t="shared" si="2"/>
        <v>UTC-5</v>
      </c>
      <c r="E157" s="11">
        <v>7.4999999999999997E-3</v>
      </c>
      <c r="F157" s="1"/>
    </row>
    <row r="158" spans="1:6" x14ac:dyDescent="0.3">
      <c r="A158" s="9">
        <v>44531</v>
      </c>
      <c r="B158" s="5">
        <v>44537</v>
      </c>
      <c r="C158" s="6">
        <v>0.54166666666666663</v>
      </c>
      <c r="D158" s="7" t="str">
        <f t="shared" si="2"/>
        <v>UTC-5</v>
      </c>
      <c r="E158" s="11">
        <v>0.01</v>
      </c>
      <c r="F158" s="1"/>
    </row>
    <row r="159" spans="1:6" x14ac:dyDescent="0.3">
      <c r="A159" s="9">
        <v>44562</v>
      </c>
      <c r="B159" s="5">
        <v>44572</v>
      </c>
      <c r="C159" s="6">
        <v>0.54166666666666663</v>
      </c>
      <c r="D159" s="7" t="str">
        <f t="shared" si="2"/>
        <v>UTC-5</v>
      </c>
      <c r="E159" s="11">
        <v>1.2370000000000001E-2</v>
      </c>
      <c r="F159" s="1"/>
    </row>
    <row r="160" spans="1:6" x14ac:dyDescent="0.3">
      <c r="A160" s="9">
        <v>44593</v>
      </c>
      <c r="B160" s="5">
        <v>44600</v>
      </c>
      <c r="C160" s="6">
        <v>0.54166666666666663</v>
      </c>
      <c r="D160" s="7" t="str">
        <f t="shared" si="2"/>
        <v>UTC-5</v>
      </c>
      <c r="E160" s="11">
        <v>1.592E-2</v>
      </c>
      <c r="F160" s="1"/>
    </row>
    <row r="161" spans="1:6" x14ac:dyDescent="0.3">
      <c r="A161" s="9">
        <v>44621</v>
      </c>
      <c r="B161" s="5">
        <v>44628</v>
      </c>
      <c r="C161" s="6">
        <v>0.54166666666666663</v>
      </c>
      <c r="D161" s="7" t="str">
        <f t="shared" si="2"/>
        <v>UTC-5</v>
      </c>
      <c r="E161" s="11">
        <v>1.7749999999999998E-2</v>
      </c>
      <c r="F161" s="1"/>
    </row>
    <row r="162" spans="1:6" x14ac:dyDescent="0.3">
      <c r="A162" s="9">
        <v>44652</v>
      </c>
      <c r="B162" s="5">
        <v>44662</v>
      </c>
      <c r="C162" s="6">
        <v>0.54166666666666663</v>
      </c>
      <c r="D162" s="7" t="str">
        <f t="shared" si="2"/>
        <v>UTC-4</v>
      </c>
      <c r="E162" s="11">
        <v>2.7380000000000002E-2</v>
      </c>
      <c r="F162" s="1"/>
    </row>
    <row r="163" spans="1:6" x14ac:dyDescent="0.3">
      <c r="A163" s="9">
        <v>44682</v>
      </c>
      <c r="B163" s="5">
        <v>44691</v>
      </c>
      <c r="C163" s="6">
        <v>0.54166666666666663</v>
      </c>
      <c r="D163" s="7" t="str">
        <f t="shared" si="2"/>
        <v>UTC-4</v>
      </c>
      <c r="E163" s="11">
        <v>2.809E-2</v>
      </c>
      <c r="F163" s="1"/>
    </row>
    <row r="164" spans="1:6" x14ac:dyDescent="0.3">
      <c r="A164" s="9">
        <v>44713</v>
      </c>
      <c r="B164" s="5">
        <v>44719</v>
      </c>
      <c r="C164" s="6">
        <v>0.54166666666666663</v>
      </c>
      <c r="D164" s="7" t="str">
        <f t="shared" si="2"/>
        <v>UTC-4</v>
      </c>
      <c r="E164" s="11">
        <v>2.9270000000000001E-2</v>
      </c>
      <c r="F164" s="1"/>
    </row>
    <row r="165" spans="1:6" x14ac:dyDescent="0.3">
      <c r="A165" s="9">
        <v>44743</v>
      </c>
      <c r="B165" s="5">
        <v>44753</v>
      </c>
      <c r="C165" s="6">
        <v>0.54166666666666663</v>
      </c>
      <c r="D165" s="7" t="str">
        <f t="shared" si="2"/>
        <v>UTC-4</v>
      </c>
      <c r="E165" s="11">
        <v>3.0929999999999999E-2</v>
      </c>
      <c r="F165" s="1"/>
    </row>
    <row r="166" spans="1:6" x14ac:dyDescent="0.3">
      <c r="A166" s="9">
        <v>44774</v>
      </c>
      <c r="B166" s="5">
        <v>44782</v>
      </c>
      <c r="C166" s="6">
        <v>0.54166666666666663</v>
      </c>
      <c r="D166" s="7" t="str">
        <f t="shared" si="2"/>
        <v>UTC-4</v>
      </c>
      <c r="E166" s="11">
        <v>3.202E-2</v>
      </c>
      <c r="F166" s="1"/>
    </row>
    <row r="167" spans="1:6" x14ac:dyDescent="0.3">
      <c r="A167" s="9">
        <v>44805</v>
      </c>
      <c r="B167" s="5">
        <v>44816</v>
      </c>
      <c r="C167" s="6">
        <v>0.47916666666666669</v>
      </c>
      <c r="D167" s="7" t="str">
        <f t="shared" si="2"/>
        <v>UTC-4</v>
      </c>
      <c r="E167" s="11">
        <v>3.5639999999999998E-2</v>
      </c>
      <c r="F167" s="1"/>
    </row>
    <row r="168" spans="1:6" x14ac:dyDescent="0.3">
      <c r="A168" s="9">
        <v>44835</v>
      </c>
      <c r="B168" s="5">
        <v>44845</v>
      </c>
      <c r="C168" s="6">
        <v>0.54166666666666663</v>
      </c>
      <c r="D168" s="7" t="str">
        <f t="shared" si="2"/>
        <v>UTC-4</v>
      </c>
      <c r="E168" s="11">
        <v>4.3180000000000003E-2</v>
      </c>
      <c r="F168" s="1"/>
    </row>
    <row r="169" spans="1:6" x14ac:dyDescent="0.3">
      <c r="A169" s="9">
        <v>44866</v>
      </c>
      <c r="B169" s="5">
        <v>44873</v>
      </c>
      <c r="C169" s="6">
        <v>0.54166666666666663</v>
      </c>
      <c r="D169" s="7" t="str">
        <f t="shared" si="2"/>
        <v>UTC-5</v>
      </c>
      <c r="E169" s="11">
        <v>4.6050000000000001E-2</v>
      </c>
      <c r="F169" s="1"/>
    </row>
    <row r="170" spans="1:6" x14ac:dyDescent="0.3">
      <c r="A170" s="9">
        <v>44896</v>
      </c>
      <c r="B170" s="5">
        <v>44907</v>
      </c>
      <c r="C170" s="6">
        <v>0.47916666666666669</v>
      </c>
      <c r="D170" s="7" t="str">
        <f t="shared" si="2"/>
        <v>UTC-5</v>
      </c>
      <c r="E170" s="11">
        <v>4.0930000000000001E-2</v>
      </c>
      <c r="F170" s="1"/>
    </row>
    <row r="171" spans="1:6" x14ac:dyDescent="0.3">
      <c r="A171" s="9">
        <v>44927</v>
      </c>
      <c r="B171" s="5">
        <v>44936</v>
      </c>
      <c r="C171" s="6">
        <v>0.54166666666666663</v>
      </c>
      <c r="D171" s="7" t="str">
        <f t="shared" si="2"/>
        <v>UTC-5</v>
      </c>
      <c r="E171" s="11">
        <v>3.977E-2</v>
      </c>
      <c r="F171" s="1"/>
    </row>
    <row r="172" spans="1:6" x14ac:dyDescent="0.3">
      <c r="A172" s="9">
        <v>44958</v>
      </c>
      <c r="B172" s="5">
        <v>44964</v>
      </c>
      <c r="C172" s="6">
        <v>0.54166666666666663</v>
      </c>
      <c r="D172" s="7" t="str">
        <f t="shared" si="2"/>
        <v>UTC-5</v>
      </c>
      <c r="E172" s="11">
        <v>4.0730000000000002E-2</v>
      </c>
      <c r="F172" s="1"/>
    </row>
    <row r="173" spans="1:6" x14ac:dyDescent="0.3">
      <c r="A173" s="9">
        <v>44986</v>
      </c>
      <c r="B173" s="5">
        <v>44992</v>
      </c>
      <c r="C173" s="6">
        <v>0.54166666666666663</v>
      </c>
      <c r="D173" s="7" t="str">
        <f t="shared" si="2"/>
        <v>UTC-5</v>
      </c>
      <c r="E173" s="11">
        <v>4.6350000000000002E-2</v>
      </c>
      <c r="F173" s="1"/>
    </row>
    <row r="174" spans="1:6" x14ac:dyDescent="0.3">
      <c r="A174" s="9">
        <v>45017</v>
      </c>
      <c r="B174" s="5">
        <v>45027</v>
      </c>
      <c r="C174" s="6">
        <v>0.54166666666666663</v>
      </c>
      <c r="D174" s="7" t="str">
        <f t="shared" si="2"/>
        <v>UTC-4</v>
      </c>
      <c r="E174" s="11">
        <v>3.8100000000000002E-2</v>
      </c>
      <c r="F174" s="1"/>
    </row>
    <row r="175" spans="1:6" x14ac:dyDescent="0.3">
      <c r="A175" s="9">
        <v>45047</v>
      </c>
      <c r="B175" s="5">
        <v>45055</v>
      </c>
      <c r="C175" s="6">
        <v>0.54166666666666663</v>
      </c>
      <c r="D175" s="7" t="str">
        <f t="shared" si="2"/>
        <v>UTC-4</v>
      </c>
      <c r="E175" s="11">
        <v>3.6949999999999997E-2</v>
      </c>
      <c r="F175" s="1"/>
    </row>
    <row r="176" spans="1:6" x14ac:dyDescent="0.3">
      <c r="A176" s="9">
        <v>45078</v>
      </c>
      <c r="B176" s="5">
        <v>45089</v>
      </c>
      <c r="C176" s="6">
        <v>0.47916666666666669</v>
      </c>
      <c r="D176" s="7" t="str">
        <f t="shared" si="2"/>
        <v>UTC-4</v>
      </c>
      <c r="E176" s="11">
        <v>4.2020000000000002E-2</v>
      </c>
      <c r="F176" s="1"/>
    </row>
    <row r="177" spans="1:6" x14ac:dyDescent="0.3">
      <c r="A177" s="9">
        <v>45108</v>
      </c>
      <c r="B177" s="5">
        <v>45118</v>
      </c>
      <c r="C177" s="6">
        <v>0.54166666666666663</v>
      </c>
      <c r="D177" s="7" t="str">
        <f t="shared" si="2"/>
        <v>UTC-4</v>
      </c>
      <c r="E177" s="11">
        <v>4.5339999999999998E-2</v>
      </c>
      <c r="F177" s="1"/>
    </row>
    <row r="178" spans="1:6" x14ac:dyDescent="0.3">
      <c r="A178" s="9">
        <v>45139</v>
      </c>
      <c r="B178" s="5">
        <v>45146</v>
      </c>
      <c r="C178" s="6">
        <v>0.54166666666666663</v>
      </c>
      <c r="D178" s="7" t="str">
        <f t="shared" si="2"/>
        <v>UTC-4</v>
      </c>
      <c r="E178" s="11">
        <v>4.3979999999999998E-2</v>
      </c>
      <c r="F178" s="1"/>
    </row>
    <row r="179" spans="1:6" x14ac:dyDescent="0.3">
      <c r="A179" s="9">
        <v>45170</v>
      </c>
      <c r="B179" s="5">
        <v>45180</v>
      </c>
      <c r="C179" s="6">
        <v>0.54166666666666663</v>
      </c>
      <c r="D179" s="7" t="str">
        <f t="shared" si="2"/>
        <v>UTC-4</v>
      </c>
      <c r="E179" s="11">
        <v>4.6600000000000003E-2</v>
      </c>
      <c r="F179" s="1"/>
    </row>
    <row r="180" spans="1:6" x14ac:dyDescent="0.3">
      <c r="A180" s="9">
        <v>45200</v>
      </c>
      <c r="B180" s="5">
        <v>45209</v>
      </c>
      <c r="C180" s="6">
        <v>0.54166666666666663</v>
      </c>
      <c r="D180" s="7" t="str">
        <f t="shared" si="2"/>
        <v>UTC-4</v>
      </c>
      <c r="E180" s="11">
        <v>4.7399999999999998E-2</v>
      </c>
      <c r="F180" s="1"/>
    </row>
    <row r="181" spans="1:6" x14ac:dyDescent="0.3">
      <c r="A181" s="9">
        <v>45231</v>
      </c>
      <c r="B181" s="5">
        <v>45237</v>
      </c>
      <c r="C181" s="6">
        <v>0.54166666666666663</v>
      </c>
      <c r="D181" s="7" t="str">
        <f t="shared" si="2"/>
        <v>UTC-5</v>
      </c>
      <c r="E181" s="11">
        <v>4.7010000000000003E-2</v>
      </c>
      <c r="F181" s="1"/>
    </row>
    <row r="182" spans="1:6" x14ac:dyDescent="0.3">
      <c r="A182" s="9">
        <v>45261</v>
      </c>
      <c r="B182" s="5">
        <v>45271</v>
      </c>
      <c r="C182" s="6">
        <v>0.47916666666666669</v>
      </c>
      <c r="D182" s="7" t="str">
        <f t="shared" si="2"/>
        <v>UTC-5</v>
      </c>
      <c r="E182" s="11">
        <v>4.4900000000000002E-2</v>
      </c>
      <c r="F182" s="1"/>
    </row>
    <row r="183" spans="1:6" x14ac:dyDescent="0.3">
      <c r="A183" s="9">
        <v>45292</v>
      </c>
      <c r="B183" s="5">
        <v>45300</v>
      </c>
      <c r="C183" s="6">
        <v>0.54166666666666663</v>
      </c>
      <c r="D183" s="7" t="str">
        <f t="shared" si="2"/>
        <v>UTC-5</v>
      </c>
      <c r="E183" s="11">
        <v>4.1050000000000003E-2</v>
      </c>
      <c r="F183" s="1"/>
    </row>
    <row r="184" spans="1:6" x14ac:dyDescent="0.3">
      <c r="A184" s="9">
        <v>45323</v>
      </c>
      <c r="B184" s="5">
        <v>45328</v>
      </c>
      <c r="C184" s="6">
        <v>0.54166666666666663</v>
      </c>
      <c r="D184" s="7" t="str">
        <f t="shared" si="2"/>
        <v>UTC-5</v>
      </c>
      <c r="E184" s="11">
        <v>4.1689999999999998E-2</v>
      </c>
      <c r="F184" s="1"/>
    </row>
    <row r="185" spans="1:6" x14ac:dyDescent="0.3">
      <c r="A185" s="9">
        <v>45352</v>
      </c>
      <c r="B185" s="5">
        <v>45362</v>
      </c>
      <c r="C185" s="6">
        <v>0.54166666666666663</v>
      </c>
      <c r="D185" s="7" t="str">
        <f t="shared" si="2"/>
        <v>UTC-4</v>
      </c>
      <c r="E185" s="11">
        <v>4.2560000000000001E-2</v>
      </c>
      <c r="F185" s="1"/>
    </row>
    <row r="186" spans="1:6" x14ac:dyDescent="0.3">
      <c r="A186" s="9">
        <v>45383</v>
      </c>
      <c r="B186" s="5">
        <v>45391</v>
      </c>
      <c r="C186" s="6">
        <v>0.54166666666666663</v>
      </c>
      <c r="D186" s="7" t="str">
        <f t="shared" si="2"/>
        <v>UTC-4</v>
      </c>
      <c r="E186" s="11">
        <v>4.548E-2</v>
      </c>
      <c r="F186" s="1"/>
    </row>
    <row r="187" spans="1:6" x14ac:dyDescent="0.3">
      <c r="A187" s="9">
        <v>45413</v>
      </c>
      <c r="B187" s="5">
        <v>45419</v>
      </c>
      <c r="C187" s="6">
        <v>0.54166666666666663</v>
      </c>
      <c r="D187" s="7" t="str">
        <f t="shared" si="2"/>
        <v>UTC-4</v>
      </c>
      <c r="E187" s="11">
        <v>4.6050000000000001E-2</v>
      </c>
      <c r="F187" s="1"/>
    </row>
    <row r="188" spans="1:6" x14ac:dyDescent="0.3">
      <c r="A188" s="9">
        <v>45444</v>
      </c>
      <c r="B188" s="5">
        <v>45453</v>
      </c>
      <c r="C188" s="6">
        <v>0.54166666666666663</v>
      </c>
      <c r="D188" s="7" t="str">
        <f t="shared" si="2"/>
        <v>UTC-4</v>
      </c>
      <c r="E188" s="11">
        <v>4.6589999999999999E-2</v>
      </c>
      <c r="F188" s="1"/>
    </row>
    <row r="189" spans="1:6" x14ac:dyDescent="0.3">
      <c r="A189" s="9">
        <v>45474</v>
      </c>
      <c r="B189" s="5">
        <v>45482</v>
      </c>
      <c r="C189" s="6">
        <v>0.54166666666666663</v>
      </c>
      <c r="D189" s="7" t="str">
        <f t="shared" si="2"/>
        <v>UTC-4</v>
      </c>
      <c r="E189" s="11">
        <v>4.3990000000000001E-2</v>
      </c>
      <c r="F189" s="1"/>
    </row>
    <row r="190" spans="1:6" x14ac:dyDescent="0.3">
      <c r="A190" s="9">
        <v>45505</v>
      </c>
      <c r="B190" s="5">
        <v>45510</v>
      </c>
      <c r="C190" s="6">
        <v>0.54166666666666663</v>
      </c>
      <c r="D190" s="7" t="str">
        <f t="shared" si="2"/>
        <v>UTC-4</v>
      </c>
      <c r="E190" s="11">
        <v>3.8100000000000002E-2</v>
      </c>
      <c r="F190" s="1"/>
    </row>
    <row r="191" spans="1:6" x14ac:dyDescent="0.3">
      <c r="A191" s="9">
        <v>45536</v>
      </c>
      <c r="B191" s="5">
        <v>45545</v>
      </c>
      <c r="C191" s="6">
        <v>0.54166666666666663</v>
      </c>
      <c r="D191" s="7" t="str">
        <f t="shared" si="2"/>
        <v>UTC-4</v>
      </c>
      <c r="E191" s="11">
        <v>3.44E-2</v>
      </c>
      <c r="F191" s="1"/>
    </row>
    <row r="192" spans="1:6" x14ac:dyDescent="0.3">
      <c r="A192" s="9">
        <v>45566</v>
      </c>
      <c r="B192" s="5">
        <v>45573</v>
      </c>
      <c r="C192" s="6">
        <v>0.54166666666666663</v>
      </c>
      <c r="D192" s="7" t="str">
        <f t="shared" si="2"/>
        <v>UTC-4</v>
      </c>
      <c r="E192" s="11">
        <v>3.8780000000000002E-2</v>
      </c>
      <c r="F192" s="1"/>
    </row>
    <row r="193" spans="1:6" x14ac:dyDescent="0.3">
      <c r="A193" s="9">
        <v>45597</v>
      </c>
      <c r="B193" s="5">
        <v>45600</v>
      </c>
      <c r="C193" s="6">
        <v>0.54166666666666663</v>
      </c>
      <c r="D193" s="7" t="str">
        <f t="shared" si="2"/>
        <v>UTC-5</v>
      </c>
      <c r="E193" s="11">
        <v>4.1520000000000001E-2</v>
      </c>
      <c r="F193" s="1"/>
    </row>
    <row r="194" spans="1:6" x14ac:dyDescent="0.3">
      <c r="A194" s="9">
        <v>45627</v>
      </c>
      <c r="B194" s="5">
        <v>45636</v>
      </c>
      <c r="C194" s="6">
        <v>0.54166666666666663</v>
      </c>
      <c r="D194" s="7" t="str">
        <f t="shared" si="2"/>
        <v>UTC-5</v>
      </c>
      <c r="E194" s="11">
        <v>4.1169999999999998E-2</v>
      </c>
      <c r="F194" s="1"/>
    </row>
    <row r="195" spans="1:6" x14ac:dyDescent="0.3">
      <c r="A195" s="9">
        <v>45658</v>
      </c>
      <c r="B195" s="5">
        <v>45663</v>
      </c>
      <c r="C195" s="6">
        <v>0.54166666666666663</v>
      </c>
      <c r="D195" s="7" t="str">
        <f t="shared" ref="D195:D214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1">
        <v>4.3319999999999997E-2</v>
      </c>
      <c r="F195" s="1"/>
    </row>
    <row r="196" spans="1:6" x14ac:dyDescent="0.3">
      <c r="A196" s="9">
        <v>45689</v>
      </c>
      <c r="B196" s="5">
        <v>45699</v>
      </c>
      <c r="C196" s="6">
        <v>0.54166666666666663</v>
      </c>
      <c r="D196" s="7" t="str">
        <f t="shared" si="3"/>
        <v>UTC-5</v>
      </c>
      <c r="E196" s="11">
        <v>4.2999999999999997E-2</v>
      </c>
      <c r="F196" s="1"/>
    </row>
    <row r="197" spans="1:6" x14ac:dyDescent="0.3">
      <c r="A197" s="9">
        <v>45717</v>
      </c>
      <c r="B197" s="5">
        <v>45727</v>
      </c>
      <c r="C197" s="6">
        <v>0.54166666666666663</v>
      </c>
      <c r="D197" s="7" t="str">
        <f t="shared" si="3"/>
        <v>UTC-4</v>
      </c>
      <c r="E197" s="11">
        <v>3.9079999999999997E-2</v>
      </c>
      <c r="F197" s="1"/>
    </row>
    <row r="198" spans="1:6" x14ac:dyDescent="0.3">
      <c r="A198" s="9">
        <v>45748</v>
      </c>
      <c r="B198" s="5">
        <v>45755</v>
      </c>
      <c r="C198" s="6">
        <v>0.54166666666666663</v>
      </c>
      <c r="D198" s="7" t="str">
        <f t="shared" si="3"/>
        <v>UTC-4</v>
      </c>
      <c r="E198" s="11">
        <v>3.7839999999999999E-2</v>
      </c>
      <c r="F198" s="1"/>
    </row>
    <row r="199" spans="1:6" x14ac:dyDescent="0.3">
      <c r="A199" s="9">
        <v>45778</v>
      </c>
      <c r="B199" s="5">
        <v>45782</v>
      </c>
      <c r="C199" s="6">
        <v>0.54166666666666663</v>
      </c>
      <c r="D199" s="7" t="str">
        <f t="shared" si="3"/>
        <v>UTC-4</v>
      </c>
      <c r="E199" s="11">
        <v>3.8240000000000003E-2</v>
      </c>
      <c r="F199" s="1"/>
    </row>
    <row r="200" spans="1:6" x14ac:dyDescent="0.3">
      <c r="A200" s="9">
        <v>45809</v>
      </c>
      <c r="B200" s="5">
        <v>45818</v>
      </c>
      <c r="C200" s="6">
        <v>0.54166666666666663</v>
      </c>
      <c r="D200" s="7" t="str">
        <f t="shared" si="3"/>
        <v>UTC-4</v>
      </c>
      <c r="E200" s="11">
        <v>3.9719999999999998E-2</v>
      </c>
      <c r="F200" s="1"/>
    </row>
    <row r="201" spans="1:6" x14ac:dyDescent="0.3">
      <c r="A201" s="9">
        <v>45839</v>
      </c>
      <c r="B201" s="5">
        <v>45846</v>
      </c>
      <c r="C201" s="6">
        <v>0.54166666666666663</v>
      </c>
      <c r="D201" s="7" t="str">
        <f t="shared" si="3"/>
        <v>UTC-4</v>
      </c>
      <c r="E201" s="11">
        <v>3.891E-2</v>
      </c>
      <c r="F201" s="1"/>
    </row>
    <row r="202" spans="1:6" x14ac:dyDescent="0.3">
      <c r="A202" s="9">
        <v>45870</v>
      </c>
      <c r="B202" s="5">
        <v>45874</v>
      </c>
      <c r="C202" s="6">
        <v>0.54166666666666663</v>
      </c>
      <c r="D202" s="7" t="str">
        <f t="shared" si="3"/>
        <v>UTC-4</v>
      </c>
      <c r="E202" s="11">
        <v>3.669E-2</v>
      </c>
      <c r="F202" s="1"/>
    </row>
    <row r="203" spans="1:6" x14ac:dyDescent="0.3">
      <c r="A203" s="9">
        <v>45901</v>
      </c>
      <c r="B203" s="5">
        <v>45909</v>
      </c>
      <c r="C203" s="6">
        <v>0.54166666666666663</v>
      </c>
      <c r="D203" s="7" t="str">
        <f t="shared" si="3"/>
        <v>UTC-4</v>
      </c>
      <c r="E203" s="11">
        <v>3.4849999999999999E-2</v>
      </c>
      <c r="F203" s="1"/>
    </row>
    <row r="204" spans="1:6" x14ac:dyDescent="0.3">
      <c r="A204" s="9">
        <v>45931</v>
      </c>
      <c r="B204" s="5">
        <v>45937</v>
      </c>
      <c r="C204" s="6">
        <v>0.54166666666666663</v>
      </c>
      <c r="D204" s="7" t="str">
        <f t="shared" si="3"/>
        <v>UTC-4</v>
      </c>
      <c r="E204" s="11">
        <v>3.576E-2</v>
      </c>
      <c r="F204" s="1"/>
    </row>
    <row r="205" spans="1:6" x14ac:dyDescent="0.3">
      <c r="A205" s="9">
        <v>45962</v>
      </c>
      <c r="B205" s="5">
        <v>45971</v>
      </c>
      <c r="C205" s="6">
        <v>0.54166666666666663</v>
      </c>
      <c r="D205" s="7" t="str">
        <f t="shared" si="3"/>
        <v>UTC-5</v>
      </c>
      <c r="E205" s="11">
        <v>3.5790000000000002E-2</v>
      </c>
      <c r="F205" s="1"/>
    </row>
    <row r="206" spans="1:6" x14ac:dyDescent="0.3">
      <c r="A206" s="9">
        <v>45992</v>
      </c>
      <c r="B206" s="5">
        <v>45999</v>
      </c>
      <c r="C206" s="6">
        <v>0.54166666666666663</v>
      </c>
      <c r="D206" s="7" t="str">
        <f t="shared" si="3"/>
        <v>UTC-5</v>
      </c>
      <c r="E206" s="11">
        <v>3.6139999999999999E-2</v>
      </c>
      <c r="F206" s="1"/>
    </row>
    <row r="207" spans="1:6" x14ac:dyDescent="0.3">
      <c r="A207" s="9">
        <v>46023</v>
      </c>
      <c r="B207" s="5">
        <v>46034</v>
      </c>
      <c r="C207" s="6">
        <v>0.52083333333333337</v>
      </c>
      <c r="D207" s="7" t="str">
        <f t="shared" si="3"/>
        <v>UTC-5</v>
      </c>
      <c r="E207" s="11">
        <v>3.6089999999999997E-2</v>
      </c>
      <c r="F207" s="1"/>
    </row>
    <row r="208" spans="1:6" x14ac:dyDescent="0.3">
      <c r="A208" s="9">
        <v>46054</v>
      </c>
      <c r="B208" s="5">
        <v>46063</v>
      </c>
      <c r="C208" s="6">
        <v>0.54166666666666663</v>
      </c>
      <c r="D208" s="7" t="str">
        <f t="shared" si="3"/>
        <v>UTC-5</v>
      </c>
      <c r="E208" s="11">
        <v>3.5180000000000003E-2</v>
      </c>
      <c r="F208" s="1"/>
    </row>
    <row r="209" spans="1:6" x14ac:dyDescent="0.3">
      <c r="A209" s="9">
        <v>46082</v>
      </c>
      <c r="B209" s="5">
        <v>46091</v>
      </c>
      <c r="C209" s="6">
        <v>0.54166666666666663</v>
      </c>
      <c r="D209" s="7" t="str">
        <f t="shared" si="3"/>
        <v>UTC-4</v>
      </c>
      <c r="E209" s="11">
        <v>3.5790000000000002E-2</v>
      </c>
      <c r="F209" s="1"/>
    </row>
    <row r="210" spans="1:6" x14ac:dyDescent="0.3">
      <c r="A210" s="9">
        <v>46113</v>
      </c>
      <c r="B210" s="5">
        <v>46119</v>
      </c>
      <c r="C210" s="6">
        <v>0.54166666666666663</v>
      </c>
      <c r="D210" s="7" t="str">
        <f t="shared" si="3"/>
        <v>UTC-4</v>
      </c>
      <c r="E210" s="11">
        <v>3.8969999999999998E-2</v>
      </c>
      <c r="F210" s="1"/>
    </row>
    <row r="211" spans="1:6" x14ac:dyDescent="0.3">
      <c r="A211" s="9">
        <v>46143</v>
      </c>
      <c r="B211" s="5">
        <v>46153</v>
      </c>
      <c r="C211" s="6">
        <v>0.54166666666666663</v>
      </c>
      <c r="D211" s="7" t="str">
        <f t="shared" si="3"/>
        <v>UTC-4</v>
      </c>
      <c r="E211" s="11">
        <v>3.9649999999999998E-2</v>
      </c>
      <c r="F211" s="1"/>
    </row>
    <row r="212" spans="1:6" x14ac:dyDescent="0.3">
      <c r="A212" s="9">
        <v>46174</v>
      </c>
      <c r="B212" s="5">
        <v>46182</v>
      </c>
      <c r="C212" s="6">
        <v>0.54166666666666663</v>
      </c>
      <c r="D212" s="7" t="str">
        <f t="shared" si="3"/>
        <v>UTC-4</v>
      </c>
      <c r="E212" s="11">
        <v>4.1919999999999999E-2</v>
      </c>
      <c r="F212" s="1"/>
    </row>
    <row r="213" spans="1:6" x14ac:dyDescent="0.3">
      <c r="A213" s="9">
        <v>46204</v>
      </c>
      <c r="B213" s="5">
        <v>46210</v>
      </c>
      <c r="C213" s="6">
        <v>0.54166666666666663</v>
      </c>
      <c r="D213" s="7" t="str">
        <f t="shared" si="3"/>
        <v>UTC-4</v>
      </c>
      <c r="E213" s="11">
        <v>4.1790000000000001E-2</v>
      </c>
      <c r="F213" s="1"/>
    </row>
    <row r="214" spans="1:6" x14ac:dyDescent="0.3">
      <c r="A214" s="9">
        <v>46235</v>
      </c>
      <c r="B214" s="5">
        <v>46245</v>
      </c>
      <c r="C214" s="6">
        <v>0.54166666666666663</v>
      </c>
      <c r="D214" s="7" t="str">
        <f t="shared" si="3"/>
        <v>UTC-4</v>
      </c>
      <c r="F214" s="1"/>
    </row>
    <row r="215" spans="1:6" x14ac:dyDescent="0.3">
      <c r="B215" s="2"/>
    </row>
    <row r="216" spans="1:6" x14ac:dyDescent="0.3">
      <c r="B216" s="2"/>
    </row>
    <row r="217" spans="1:6" x14ac:dyDescent="0.3">
      <c r="B217" s="2"/>
    </row>
    <row r="218" spans="1:6" x14ac:dyDescent="0.3">
      <c r="B218" s="2"/>
    </row>
    <row r="219" spans="1:6" x14ac:dyDescent="0.3">
      <c r="B219" s="2"/>
    </row>
    <row r="220" spans="1:6" x14ac:dyDescent="0.3">
      <c r="B220" s="2"/>
    </row>
    <row r="221" spans="1:6" x14ac:dyDescent="0.3">
      <c r="B221" s="2"/>
    </row>
    <row r="222" spans="1:6" x14ac:dyDescent="0.3">
      <c r="B222" s="2"/>
    </row>
    <row r="223" spans="1:6" x14ac:dyDescent="0.3">
      <c r="B223" s="2"/>
    </row>
    <row r="224" spans="1:6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</sheetData>
  <sortState xmlns:xlrd2="http://schemas.microsoft.com/office/spreadsheetml/2017/richdata2" ref="A2:E214">
    <sortCondition ref="B2:B21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B232-FCAE-43C5-95CD-A7984B0AA527}">
  <dimension ref="A1:E308"/>
  <sheetViews>
    <sheetView tabSelected="1" workbookViewId="0">
      <pane xSplit="4" ySplit="3" topLeftCell="E289" activePane="bottomRight" state="frozen"/>
      <selection pane="topRight" activeCell="E1" sqref="E1"/>
      <selection pane="bottomLeft" activeCell="A4" sqref="A4"/>
      <selection pane="bottomRight" activeCell="P310" sqref="P310"/>
    </sheetView>
  </sheetViews>
  <sheetFormatPr defaultRowHeight="14.4" x14ac:dyDescent="0.3"/>
  <cols>
    <col min="1" max="1" width="11" style="2" customWidth="1"/>
    <col min="2" max="2" width="12.88671875" style="5" bestFit="1" customWidth="1"/>
    <col min="3" max="3" width="11.88671875" style="6" customWidth="1"/>
    <col min="4" max="4" width="10.44140625" style="2" bestFit="1" customWidth="1"/>
    <col min="5" max="5" width="8.88671875" style="12"/>
    <col min="6" max="6" width="11" bestFit="1" customWidth="1"/>
  </cols>
  <sheetData>
    <row r="1" spans="1:5" x14ac:dyDescent="0.3">
      <c r="A1" s="2" t="s">
        <v>0</v>
      </c>
      <c r="B1" s="3" t="s">
        <v>1</v>
      </c>
      <c r="C1" s="4" t="s">
        <v>2</v>
      </c>
      <c r="D1" s="2" t="s">
        <v>3</v>
      </c>
      <c r="E1" s="10" t="s">
        <v>5</v>
      </c>
    </row>
    <row r="2" spans="1:5" x14ac:dyDescent="0.3">
      <c r="A2" s="9">
        <v>35582</v>
      </c>
      <c r="B2" s="9">
        <v>35607</v>
      </c>
      <c r="C2" s="6">
        <v>0.54166666666666663</v>
      </c>
      <c r="D2" s="7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2">
        <v>6.25E-2</v>
      </c>
    </row>
    <row r="3" spans="1:5" x14ac:dyDescent="0.3">
      <c r="A3" s="9">
        <v>35612</v>
      </c>
      <c r="B3" s="9">
        <v>35635</v>
      </c>
      <c r="C3" s="6">
        <v>0.54166666666666663</v>
      </c>
      <c r="D3" s="7" t="str">
        <f t="shared" si="0"/>
        <v>UTC-4</v>
      </c>
      <c r="E3" s="12">
        <v>0.06</v>
      </c>
    </row>
    <row r="4" spans="1:5" x14ac:dyDescent="0.3">
      <c r="A4" s="9">
        <v>35643</v>
      </c>
      <c r="B4" s="9">
        <v>35670</v>
      </c>
      <c r="C4" s="6">
        <v>0.54166666666666663</v>
      </c>
      <c r="D4" s="7" t="str">
        <f t="shared" si="0"/>
        <v>UTC-4</v>
      </c>
      <c r="E4" s="12">
        <v>6.25E-2</v>
      </c>
    </row>
    <row r="5" spans="1:5" x14ac:dyDescent="0.3">
      <c r="A5" s="9">
        <v>35674</v>
      </c>
      <c r="B5" s="9">
        <v>35698</v>
      </c>
      <c r="C5" s="6">
        <v>0.54166666666666663</v>
      </c>
      <c r="D5" s="7" t="str">
        <f t="shared" si="0"/>
        <v>UTC-4</v>
      </c>
      <c r="E5" s="12">
        <v>5.8749999999999997E-2</v>
      </c>
    </row>
    <row r="6" spans="1:5" x14ac:dyDescent="0.3">
      <c r="A6" s="9">
        <v>35704</v>
      </c>
      <c r="B6" s="9">
        <v>35733</v>
      </c>
      <c r="C6" s="6">
        <v>0.54166666666666663</v>
      </c>
      <c r="D6" s="7" t="str">
        <f t="shared" si="0"/>
        <v>UTC-5</v>
      </c>
      <c r="E6" s="12">
        <v>5.7500000000000002E-2</v>
      </c>
    </row>
    <row r="7" spans="1:5" x14ac:dyDescent="0.3">
      <c r="A7" s="9">
        <v>35735</v>
      </c>
      <c r="B7" s="9">
        <v>35760</v>
      </c>
      <c r="C7" s="6">
        <v>0.54166666666666663</v>
      </c>
      <c r="D7" s="7" t="str">
        <f t="shared" si="0"/>
        <v>UTC-5</v>
      </c>
      <c r="E7" s="12">
        <v>5.7500000000000002E-2</v>
      </c>
    </row>
    <row r="8" spans="1:5" x14ac:dyDescent="0.3">
      <c r="A8" s="9">
        <v>35765</v>
      </c>
      <c r="B8" s="9">
        <v>35788</v>
      </c>
      <c r="C8" s="6">
        <v>0.54166666666666663</v>
      </c>
      <c r="D8" s="7" t="str">
        <f t="shared" si="0"/>
        <v>UTC-5</v>
      </c>
      <c r="E8" s="12">
        <v>5.6250000000000001E-2</v>
      </c>
    </row>
    <row r="9" spans="1:5" x14ac:dyDescent="0.3">
      <c r="A9" s="9">
        <v>35796</v>
      </c>
      <c r="B9" s="9">
        <v>35823</v>
      </c>
      <c r="C9" s="6">
        <v>0.54166666666666663</v>
      </c>
      <c r="D9" s="7" t="str">
        <f t="shared" si="0"/>
        <v>UTC-5</v>
      </c>
      <c r="E9" s="12">
        <v>5.5E-2</v>
      </c>
    </row>
    <row r="10" spans="1:5" x14ac:dyDescent="0.3">
      <c r="A10" s="9">
        <v>35827</v>
      </c>
      <c r="B10" s="9">
        <v>35851</v>
      </c>
      <c r="C10" s="6">
        <v>0.54166666666666663</v>
      </c>
      <c r="D10" s="7" t="str">
        <f t="shared" si="0"/>
        <v>UTC-5</v>
      </c>
      <c r="E10" s="12">
        <v>5.5E-2</v>
      </c>
    </row>
    <row r="11" spans="1:5" x14ac:dyDescent="0.3">
      <c r="A11" s="9">
        <v>35855</v>
      </c>
      <c r="B11" s="9">
        <v>35879</v>
      </c>
      <c r="C11" s="6">
        <v>0.54166666666666663</v>
      </c>
      <c r="D11" s="7" t="str">
        <f t="shared" si="0"/>
        <v>UTC-5</v>
      </c>
      <c r="E11" s="12">
        <v>5.5E-2</v>
      </c>
    </row>
    <row r="12" spans="1:5" x14ac:dyDescent="0.3">
      <c r="A12" s="9">
        <v>35886</v>
      </c>
      <c r="B12" s="9">
        <v>35914</v>
      </c>
      <c r="C12" s="6">
        <v>0.54166666666666663</v>
      </c>
      <c r="D12" s="7" t="str">
        <f t="shared" si="0"/>
        <v>UTC-4</v>
      </c>
      <c r="E12" s="12">
        <v>5.7500000000000002E-2</v>
      </c>
    </row>
    <row r="13" spans="1:5" x14ac:dyDescent="0.3">
      <c r="A13" s="9">
        <v>35916</v>
      </c>
      <c r="B13" s="9">
        <v>35943</v>
      </c>
      <c r="C13" s="6">
        <v>0.54166666666666663</v>
      </c>
      <c r="D13" s="7" t="str">
        <f t="shared" si="0"/>
        <v>UTC-4</v>
      </c>
      <c r="E13" s="12">
        <v>5.5E-2</v>
      </c>
    </row>
    <row r="14" spans="1:5" x14ac:dyDescent="0.3">
      <c r="A14" s="9">
        <v>35947</v>
      </c>
      <c r="B14" s="9">
        <v>35970</v>
      </c>
      <c r="C14" s="6">
        <v>0.54166666666666663</v>
      </c>
      <c r="D14" s="7" t="str">
        <f t="shared" si="0"/>
        <v>UTC-4</v>
      </c>
      <c r="E14" s="12">
        <v>5.3749999999999999E-2</v>
      </c>
    </row>
    <row r="15" spans="1:5" x14ac:dyDescent="0.3">
      <c r="A15" s="9">
        <v>36008</v>
      </c>
      <c r="B15" s="9">
        <v>36018</v>
      </c>
      <c r="C15" s="6">
        <v>0.54166666666666663</v>
      </c>
      <c r="D15" s="7" t="str">
        <f t="shared" si="0"/>
        <v>UTC-4</v>
      </c>
      <c r="E15" s="12">
        <v>5.2499999999999998E-2</v>
      </c>
    </row>
    <row r="16" spans="1:5" x14ac:dyDescent="0.3">
      <c r="A16" s="9">
        <v>36100</v>
      </c>
      <c r="B16" s="9">
        <v>36109</v>
      </c>
      <c r="C16" s="6">
        <v>0.54166666666666663</v>
      </c>
      <c r="D16" s="7" t="str">
        <f t="shared" si="0"/>
        <v>UTC-5</v>
      </c>
      <c r="E16" s="12">
        <v>4.2500000000000003E-2</v>
      </c>
    </row>
    <row r="17" spans="1:5" x14ac:dyDescent="0.3">
      <c r="A17" s="9">
        <v>36192</v>
      </c>
      <c r="B17" s="9">
        <v>36200</v>
      </c>
      <c r="C17" s="6">
        <v>0.54166666666666663</v>
      </c>
      <c r="D17" s="7" t="str">
        <f t="shared" si="0"/>
        <v>UTC-5</v>
      </c>
      <c r="E17" s="12">
        <v>4.7500000000000001E-2</v>
      </c>
    </row>
    <row r="18" spans="1:5" x14ac:dyDescent="0.3">
      <c r="A18" s="9">
        <v>36281</v>
      </c>
      <c r="B18" s="9">
        <v>36291</v>
      </c>
      <c r="C18" s="6">
        <v>0.54166666666666663</v>
      </c>
      <c r="D18" s="7" t="str">
        <f t="shared" si="0"/>
        <v>UTC-4</v>
      </c>
      <c r="E18" s="12">
        <v>5.2499999999999998E-2</v>
      </c>
    </row>
    <row r="19" spans="1:5" x14ac:dyDescent="0.3">
      <c r="A19" s="9">
        <v>36373</v>
      </c>
      <c r="B19" s="9">
        <v>36382</v>
      </c>
      <c r="C19" s="6">
        <v>0.54166666666666663</v>
      </c>
      <c r="D19" s="7" t="str">
        <f t="shared" si="0"/>
        <v>UTC-4</v>
      </c>
      <c r="E19" s="12">
        <v>0.06</v>
      </c>
    </row>
    <row r="20" spans="1:5" x14ac:dyDescent="0.3">
      <c r="A20" s="9">
        <v>36465</v>
      </c>
      <c r="B20" s="9">
        <v>36473</v>
      </c>
      <c r="C20" s="6">
        <v>0.54166666666666663</v>
      </c>
      <c r="D20" s="7" t="str">
        <f t="shared" si="0"/>
        <v>UTC-5</v>
      </c>
      <c r="E20" s="12">
        <v>5.8749999999999997E-2</v>
      </c>
    </row>
    <row r="21" spans="1:5" x14ac:dyDescent="0.3">
      <c r="A21" s="9">
        <v>36557</v>
      </c>
      <c r="B21" s="9">
        <v>36564</v>
      </c>
      <c r="C21" s="6">
        <v>0.54166666666666663</v>
      </c>
      <c r="D21" s="7" t="str">
        <f t="shared" si="0"/>
        <v>UTC-5</v>
      </c>
      <c r="E21" s="12">
        <v>5.8749999999999997E-2</v>
      </c>
    </row>
    <row r="22" spans="1:5" x14ac:dyDescent="0.3">
      <c r="A22" s="9">
        <v>36647</v>
      </c>
      <c r="B22" s="9">
        <v>36655</v>
      </c>
      <c r="C22" s="6">
        <v>0.54166666666666663</v>
      </c>
      <c r="D22" s="7" t="str">
        <f t="shared" si="0"/>
        <v>UTC-4</v>
      </c>
      <c r="E22" s="12">
        <v>6.7500000000000004E-2</v>
      </c>
    </row>
    <row r="23" spans="1:5" x14ac:dyDescent="0.3">
      <c r="A23" s="9">
        <v>36739</v>
      </c>
      <c r="B23" s="9">
        <v>36746</v>
      </c>
      <c r="C23" s="6">
        <v>0.54166666666666663</v>
      </c>
      <c r="D23" s="7" t="str">
        <f t="shared" si="0"/>
        <v>UTC-4</v>
      </c>
      <c r="E23" s="12">
        <v>6.7500000000000004E-2</v>
      </c>
    </row>
    <row r="24" spans="1:5" x14ac:dyDescent="0.3">
      <c r="A24" s="9">
        <v>36831</v>
      </c>
      <c r="B24" s="9">
        <v>36837</v>
      </c>
      <c r="C24" s="6">
        <v>0.54166666666666663</v>
      </c>
      <c r="D24" s="7" t="str">
        <f t="shared" si="0"/>
        <v>UTC-5</v>
      </c>
      <c r="E24" s="12">
        <v>5.7500000000000002E-2</v>
      </c>
    </row>
    <row r="25" spans="1:5" x14ac:dyDescent="0.3">
      <c r="A25" s="9">
        <v>36923</v>
      </c>
      <c r="B25" s="9">
        <v>36928</v>
      </c>
      <c r="C25" s="6">
        <v>0.54166666666666663</v>
      </c>
      <c r="D25" s="7" t="str">
        <f t="shared" si="0"/>
        <v>UTC-5</v>
      </c>
      <c r="E25" s="12">
        <v>5.7500000000000002E-2</v>
      </c>
    </row>
    <row r="26" spans="1:5" x14ac:dyDescent="0.3">
      <c r="A26" s="9">
        <v>37012</v>
      </c>
      <c r="B26" s="9">
        <v>37019</v>
      </c>
      <c r="C26" s="6">
        <v>0.54166666666666663</v>
      </c>
      <c r="D26" s="7" t="str">
        <f t="shared" si="0"/>
        <v>UTC-4</v>
      </c>
      <c r="E26" s="12">
        <v>4.6249999999999999E-2</v>
      </c>
    </row>
    <row r="27" spans="1:5" x14ac:dyDescent="0.3">
      <c r="A27" s="9">
        <v>37104</v>
      </c>
      <c r="B27" s="9">
        <v>37110</v>
      </c>
      <c r="C27" s="6">
        <v>0.54166666666666663</v>
      </c>
      <c r="D27" s="7" t="str">
        <f t="shared" si="0"/>
        <v>UTC-4</v>
      </c>
      <c r="E27" s="12">
        <v>4.6249999999999999E-2</v>
      </c>
    </row>
    <row r="28" spans="1:5" x14ac:dyDescent="0.3">
      <c r="A28" s="9">
        <v>37196</v>
      </c>
      <c r="B28" s="9">
        <v>37201</v>
      </c>
      <c r="C28" s="6">
        <v>0.54166666666666663</v>
      </c>
      <c r="D28" s="7" t="str">
        <f t="shared" si="0"/>
        <v>UTC-5</v>
      </c>
      <c r="E28" s="12">
        <v>3.5000000000000003E-2</v>
      </c>
    </row>
    <row r="29" spans="1:5" x14ac:dyDescent="0.3">
      <c r="A29" s="9">
        <v>37288</v>
      </c>
      <c r="B29" s="9">
        <v>37292</v>
      </c>
      <c r="C29" s="6">
        <v>0.54166666666666663</v>
      </c>
      <c r="D29" s="7" t="str">
        <f t="shared" si="0"/>
        <v>UTC-5</v>
      </c>
      <c r="E29" s="12">
        <v>3.5000000000000003E-2</v>
      </c>
    </row>
    <row r="30" spans="1:5" x14ac:dyDescent="0.3">
      <c r="A30" s="9">
        <v>37377</v>
      </c>
      <c r="B30" s="9">
        <v>37383</v>
      </c>
      <c r="C30" s="6">
        <v>0.54166666666666663</v>
      </c>
      <c r="D30" s="7" t="str">
        <f t="shared" si="0"/>
        <v>UTC-4</v>
      </c>
      <c r="E30" s="12">
        <v>4.3749999999999997E-2</v>
      </c>
    </row>
    <row r="31" spans="1:5" x14ac:dyDescent="0.3">
      <c r="A31" s="9">
        <v>37469</v>
      </c>
      <c r="B31" s="9">
        <v>37474</v>
      </c>
      <c r="C31" s="6">
        <v>0.54166666666666663</v>
      </c>
      <c r="D31" s="7" t="str">
        <f t="shared" si="0"/>
        <v>UTC-4</v>
      </c>
      <c r="E31" s="12">
        <v>3.2500000000000001E-2</v>
      </c>
    </row>
    <row r="32" spans="1:5" x14ac:dyDescent="0.3">
      <c r="A32" s="9">
        <v>37561</v>
      </c>
      <c r="B32" s="9">
        <v>37565</v>
      </c>
      <c r="C32" s="6">
        <v>0.54166666666666663</v>
      </c>
      <c r="D32" s="7" t="str">
        <f t="shared" si="0"/>
        <v>UTC-5</v>
      </c>
      <c r="E32" s="12">
        <v>0.03</v>
      </c>
    </row>
    <row r="33" spans="1:5" x14ac:dyDescent="0.3">
      <c r="A33" s="9">
        <v>37653</v>
      </c>
      <c r="B33" s="9">
        <v>37657</v>
      </c>
      <c r="C33" s="6">
        <v>0.54166666666666663</v>
      </c>
      <c r="D33" s="7" t="str">
        <f t="shared" si="0"/>
        <v>UTC-5</v>
      </c>
      <c r="E33" s="12">
        <v>0.03</v>
      </c>
    </row>
    <row r="34" spans="1:5" x14ac:dyDescent="0.3">
      <c r="A34" s="9">
        <v>37742</v>
      </c>
      <c r="B34" s="9">
        <v>37748</v>
      </c>
      <c r="C34" s="6">
        <v>0.54166666666666663</v>
      </c>
      <c r="D34" s="7" t="str">
        <f t="shared" si="0"/>
        <v>UTC-4</v>
      </c>
      <c r="E34" s="12">
        <v>2.6249999999999999E-2</v>
      </c>
    </row>
    <row r="35" spans="1:5" x14ac:dyDescent="0.3">
      <c r="A35" s="9">
        <v>37773</v>
      </c>
      <c r="B35" s="9">
        <v>37783</v>
      </c>
      <c r="C35" s="6">
        <v>0.54166666666666663</v>
      </c>
      <c r="D35" s="7" t="str">
        <f t="shared" si="0"/>
        <v>UTC-4</v>
      </c>
      <c r="E35" s="12">
        <v>2.6249999999999999E-2</v>
      </c>
    </row>
    <row r="36" spans="1:5" x14ac:dyDescent="0.3">
      <c r="A36" s="9">
        <v>37834</v>
      </c>
      <c r="B36" s="9">
        <v>37839</v>
      </c>
      <c r="C36" s="6">
        <v>0.54166666666666663</v>
      </c>
      <c r="D36" s="7" t="str">
        <f t="shared" si="0"/>
        <v>UTC-4</v>
      </c>
      <c r="E36" s="12">
        <v>3.2500000000000001E-2</v>
      </c>
    </row>
    <row r="37" spans="1:5" x14ac:dyDescent="0.3">
      <c r="A37" s="9">
        <v>37865</v>
      </c>
      <c r="B37" s="9">
        <v>37874</v>
      </c>
      <c r="C37" s="6">
        <v>0.54166666666666663</v>
      </c>
      <c r="D37" s="7" t="str">
        <f t="shared" si="0"/>
        <v>UTC-4</v>
      </c>
      <c r="E37" s="12">
        <v>3.125E-2</v>
      </c>
    </row>
    <row r="38" spans="1:5" x14ac:dyDescent="0.3">
      <c r="A38" s="9">
        <v>37895</v>
      </c>
      <c r="B38" s="9">
        <v>37902</v>
      </c>
      <c r="C38" s="6">
        <v>0.54166666666666663</v>
      </c>
      <c r="D38" s="7" t="str">
        <f t="shared" si="0"/>
        <v>UTC-4</v>
      </c>
      <c r="E38" s="12">
        <v>3.125E-2</v>
      </c>
    </row>
    <row r="39" spans="1:5" x14ac:dyDescent="0.3">
      <c r="A39" s="9">
        <v>37926</v>
      </c>
      <c r="B39" s="9">
        <v>37930</v>
      </c>
      <c r="C39" s="6">
        <v>0.54166666666666663</v>
      </c>
      <c r="D39" s="7" t="str">
        <f t="shared" si="0"/>
        <v>UTC-5</v>
      </c>
      <c r="E39" s="12">
        <v>3.3750000000000002E-2</v>
      </c>
    </row>
    <row r="40" spans="1:5" x14ac:dyDescent="0.3">
      <c r="A40" s="9">
        <v>37956</v>
      </c>
      <c r="B40" s="9">
        <v>37965</v>
      </c>
      <c r="C40" s="6">
        <v>0.54166666666666663</v>
      </c>
      <c r="D40" s="7" t="str">
        <f t="shared" si="0"/>
        <v>UTC-5</v>
      </c>
      <c r="E40" s="12">
        <v>3.3750000000000002E-2</v>
      </c>
    </row>
    <row r="41" spans="1:5" x14ac:dyDescent="0.3">
      <c r="A41" s="9">
        <v>37987</v>
      </c>
      <c r="B41" s="9">
        <v>37993</v>
      </c>
      <c r="C41" s="6">
        <v>0.54166666666666663</v>
      </c>
      <c r="D41" s="7" t="str">
        <f t="shared" si="0"/>
        <v>UTC-5</v>
      </c>
      <c r="E41" s="12">
        <v>3.2500000000000001E-2</v>
      </c>
    </row>
    <row r="42" spans="1:5" x14ac:dyDescent="0.3">
      <c r="A42" s="9">
        <v>38018</v>
      </c>
      <c r="B42" s="9">
        <v>38028</v>
      </c>
      <c r="C42" s="6">
        <v>0.54166666666666663</v>
      </c>
      <c r="D42" s="7" t="str">
        <f t="shared" si="0"/>
        <v>UTC-5</v>
      </c>
      <c r="E42" s="12">
        <v>0.03</v>
      </c>
    </row>
    <row r="43" spans="1:5" x14ac:dyDescent="0.3">
      <c r="A43" s="9">
        <v>38047</v>
      </c>
      <c r="B43" s="9">
        <v>38056</v>
      </c>
      <c r="C43" s="6">
        <v>0.54166666666666663</v>
      </c>
      <c r="D43" s="7" t="str">
        <f t="shared" si="0"/>
        <v>UTC-5</v>
      </c>
      <c r="E43" s="12">
        <v>2.6249999999999999E-2</v>
      </c>
    </row>
    <row r="44" spans="1:5" x14ac:dyDescent="0.3">
      <c r="A44" s="9">
        <v>38078</v>
      </c>
      <c r="B44" s="9">
        <v>38084</v>
      </c>
      <c r="C44" s="6">
        <v>0.54166666666666663</v>
      </c>
      <c r="D44" s="7" t="str">
        <f t="shared" si="0"/>
        <v>UTC-4</v>
      </c>
      <c r="E44" s="12">
        <v>3.125E-2</v>
      </c>
    </row>
    <row r="45" spans="1:5" x14ac:dyDescent="0.3">
      <c r="A45" s="9">
        <v>38108</v>
      </c>
      <c r="B45" s="9">
        <v>38112</v>
      </c>
      <c r="C45" s="6">
        <v>0.54166666666666663</v>
      </c>
      <c r="D45" s="7" t="str">
        <f t="shared" si="0"/>
        <v>UTC-4</v>
      </c>
      <c r="E45" s="12">
        <v>3.875E-2</v>
      </c>
    </row>
    <row r="46" spans="1:5" x14ac:dyDescent="0.3">
      <c r="A46" s="9">
        <v>38139</v>
      </c>
      <c r="B46" s="9">
        <v>38147</v>
      </c>
      <c r="C46" s="6">
        <v>0.54166666666666663</v>
      </c>
      <c r="D46" s="7" t="str">
        <f t="shared" si="0"/>
        <v>UTC-4</v>
      </c>
      <c r="E46" s="12">
        <v>0.04</v>
      </c>
    </row>
    <row r="47" spans="1:5" x14ac:dyDescent="0.3">
      <c r="A47" s="9">
        <v>38169</v>
      </c>
      <c r="B47" s="9">
        <v>38175</v>
      </c>
      <c r="C47" s="6">
        <v>0.54166666666666663</v>
      </c>
      <c r="D47" s="7" t="str">
        <f t="shared" si="0"/>
        <v>UTC-4</v>
      </c>
      <c r="E47" s="12">
        <v>3.6249999999999998E-2</v>
      </c>
    </row>
    <row r="48" spans="1:5" x14ac:dyDescent="0.3">
      <c r="A48" s="9">
        <v>38200</v>
      </c>
      <c r="B48" s="9">
        <v>38210</v>
      </c>
      <c r="C48" s="6">
        <v>0.54166666666666663</v>
      </c>
      <c r="D48" s="7" t="str">
        <f t="shared" si="0"/>
        <v>UTC-4</v>
      </c>
      <c r="E48" s="12">
        <v>3.5000000000000003E-2</v>
      </c>
    </row>
    <row r="49" spans="1:5" x14ac:dyDescent="0.3">
      <c r="A49" s="9">
        <v>38231</v>
      </c>
      <c r="B49" s="9">
        <v>38238</v>
      </c>
      <c r="C49" s="6">
        <v>0.54166666666666663</v>
      </c>
      <c r="D49" s="7" t="str">
        <f t="shared" si="0"/>
        <v>UTC-4</v>
      </c>
      <c r="E49" s="12">
        <v>3.3750000000000002E-2</v>
      </c>
    </row>
    <row r="50" spans="1:5" x14ac:dyDescent="0.3">
      <c r="A50" s="9">
        <v>38261</v>
      </c>
      <c r="B50" s="9">
        <v>38266</v>
      </c>
      <c r="C50" s="6">
        <v>0.54166666666666663</v>
      </c>
      <c r="D50" s="7" t="str">
        <f t="shared" si="0"/>
        <v>UTC-4</v>
      </c>
      <c r="E50" s="12">
        <v>3.3750000000000002E-2</v>
      </c>
    </row>
    <row r="51" spans="1:5" x14ac:dyDescent="0.3">
      <c r="A51" s="9">
        <v>38292</v>
      </c>
      <c r="B51" s="9">
        <v>38301</v>
      </c>
      <c r="C51" s="6">
        <v>0.54166666666666663</v>
      </c>
      <c r="D51" s="7" t="str">
        <f t="shared" si="0"/>
        <v>UTC-5</v>
      </c>
      <c r="E51" s="12">
        <v>3.5000000000000003E-2</v>
      </c>
    </row>
    <row r="52" spans="1:5" x14ac:dyDescent="0.3">
      <c r="A52" s="9">
        <v>38322</v>
      </c>
      <c r="B52" s="9">
        <v>38329</v>
      </c>
      <c r="C52" s="6">
        <v>0.54166666666666663</v>
      </c>
      <c r="D52" s="7" t="str">
        <f t="shared" si="0"/>
        <v>UTC-5</v>
      </c>
      <c r="E52" s="12">
        <v>3.5000000000000003E-2</v>
      </c>
    </row>
    <row r="53" spans="1:5" x14ac:dyDescent="0.3">
      <c r="A53" s="9">
        <v>38353</v>
      </c>
      <c r="B53" s="9">
        <v>38364</v>
      </c>
      <c r="C53" s="6">
        <v>0.54166666666666663</v>
      </c>
      <c r="D53" s="7" t="str">
        <f t="shared" si="0"/>
        <v>UTC-5</v>
      </c>
      <c r="E53" s="12">
        <v>3.6249999999999998E-2</v>
      </c>
    </row>
    <row r="54" spans="1:5" x14ac:dyDescent="0.3">
      <c r="A54" s="9">
        <v>38384</v>
      </c>
      <c r="B54" s="9">
        <v>38392</v>
      </c>
      <c r="C54" s="6">
        <v>0.54166666666666663</v>
      </c>
      <c r="D54" s="7" t="str">
        <f t="shared" si="0"/>
        <v>UTC-5</v>
      </c>
      <c r="E54" s="12">
        <v>3.5000000000000003E-2</v>
      </c>
    </row>
    <row r="55" spans="1:5" x14ac:dyDescent="0.3">
      <c r="A55" s="9">
        <v>38412</v>
      </c>
      <c r="B55" s="9">
        <v>38420</v>
      </c>
      <c r="C55" s="6">
        <v>0.54166666666666663</v>
      </c>
      <c r="D55" s="7" t="str">
        <f t="shared" si="0"/>
        <v>UTC-5</v>
      </c>
      <c r="E55" s="12">
        <v>0.04</v>
      </c>
    </row>
    <row r="56" spans="1:5" x14ac:dyDescent="0.3">
      <c r="A56" s="9">
        <v>38443</v>
      </c>
      <c r="B56" s="9">
        <v>38455</v>
      </c>
      <c r="C56" s="6">
        <v>0.54166666666666663</v>
      </c>
      <c r="D56" s="7" t="str">
        <f t="shared" si="0"/>
        <v>UTC-4</v>
      </c>
      <c r="E56" s="12">
        <v>0.04</v>
      </c>
    </row>
    <row r="57" spans="1:5" x14ac:dyDescent="0.3">
      <c r="A57" s="9">
        <v>38473</v>
      </c>
      <c r="B57" s="9">
        <v>38483</v>
      </c>
      <c r="C57" s="6">
        <v>0.54166666666666663</v>
      </c>
      <c r="D57" s="7" t="str">
        <f t="shared" si="0"/>
        <v>UTC-4</v>
      </c>
      <c r="E57" s="12">
        <v>3.875E-2</v>
      </c>
    </row>
    <row r="58" spans="1:5" x14ac:dyDescent="0.3">
      <c r="A58" s="9">
        <v>38504</v>
      </c>
      <c r="B58" s="9">
        <v>38511</v>
      </c>
      <c r="C58" s="6">
        <v>0.54166666666666663</v>
      </c>
      <c r="D58" s="7" t="str">
        <f t="shared" si="0"/>
        <v>UTC-4</v>
      </c>
      <c r="E58" s="12">
        <v>3.6249999999999998E-2</v>
      </c>
    </row>
    <row r="59" spans="1:5" x14ac:dyDescent="0.3">
      <c r="A59" s="9">
        <v>38534</v>
      </c>
      <c r="B59" s="9">
        <v>38546</v>
      </c>
      <c r="C59" s="6">
        <v>0.54166666666666663</v>
      </c>
      <c r="D59" s="7" t="str">
        <f t="shared" si="0"/>
        <v>UTC-4</v>
      </c>
      <c r="E59" s="12">
        <v>3.875E-2</v>
      </c>
    </row>
    <row r="60" spans="1:5" x14ac:dyDescent="0.3">
      <c r="A60" s="9">
        <v>38565</v>
      </c>
      <c r="B60" s="9">
        <v>38574</v>
      </c>
      <c r="C60" s="6">
        <v>0.54166666666666663</v>
      </c>
      <c r="D60" s="7" t="str">
        <f t="shared" si="0"/>
        <v>UTC-4</v>
      </c>
      <c r="E60" s="12">
        <v>4.1250000000000002E-2</v>
      </c>
    </row>
    <row r="61" spans="1:5" x14ac:dyDescent="0.3">
      <c r="A61" s="9">
        <v>38596</v>
      </c>
      <c r="B61" s="9">
        <v>38609</v>
      </c>
      <c r="C61" s="6">
        <v>0.54166666666666663</v>
      </c>
      <c r="D61" s="7" t="str">
        <f t="shared" si="0"/>
        <v>UTC-4</v>
      </c>
      <c r="E61" s="12">
        <v>3.875E-2</v>
      </c>
    </row>
    <row r="62" spans="1:5" x14ac:dyDescent="0.3">
      <c r="A62" s="9">
        <v>38626</v>
      </c>
      <c r="B62" s="9">
        <v>38637</v>
      </c>
      <c r="C62" s="6">
        <v>0.54166666666666663</v>
      </c>
      <c r="D62" s="7" t="str">
        <f t="shared" si="0"/>
        <v>UTC-4</v>
      </c>
      <c r="E62" s="12">
        <v>4.2500000000000003E-2</v>
      </c>
    </row>
    <row r="63" spans="1:5" x14ac:dyDescent="0.3">
      <c r="A63" s="9">
        <v>38657</v>
      </c>
      <c r="B63" s="9">
        <v>38665</v>
      </c>
      <c r="C63" s="6">
        <v>0.54166666666666663</v>
      </c>
      <c r="D63" s="7" t="str">
        <f t="shared" si="0"/>
        <v>UTC-5</v>
      </c>
      <c r="E63" s="12">
        <v>4.4999999999999998E-2</v>
      </c>
    </row>
    <row r="64" spans="1:5" x14ac:dyDescent="0.3">
      <c r="A64" s="9">
        <v>38687</v>
      </c>
      <c r="B64" s="9">
        <v>38700</v>
      </c>
      <c r="C64" s="6">
        <v>0.54166666666666663</v>
      </c>
      <c r="D64" s="7" t="str">
        <f t="shared" si="0"/>
        <v>UTC-5</v>
      </c>
      <c r="E64" s="12">
        <v>4.3749999999999997E-2</v>
      </c>
    </row>
    <row r="65" spans="1:5" x14ac:dyDescent="0.3">
      <c r="A65" s="9">
        <v>38718</v>
      </c>
      <c r="B65" s="9">
        <v>38743</v>
      </c>
      <c r="C65" s="6">
        <v>0.54166666666666663</v>
      </c>
      <c r="D65" s="7" t="str">
        <f t="shared" si="0"/>
        <v>UTC-5</v>
      </c>
      <c r="E65" s="12">
        <v>4.2500000000000003E-2</v>
      </c>
    </row>
    <row r="66" spans="1:5" x14ac:dyDescent="0.3">
      <c r="A66" s="9">
        <v>38749</v>
      </c>
      <c r="B66" s="9">
        <v>38771</v>
      </c>
      <c r="C66" s="6">
        <v>0.54166666666666663</v>
      </c>
      <c r="D66" s="7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12">
        <v>4.4999999999999998E-2</v>
      </c>
    </row>
    <row r="67" spans="1:5" x14ac:dyDescent="0.3">
      <c r="A67" s="9">
        <v>38777</v>
      </c>
      <c r="B67" s="9">
        <v>38805</v>
      </c>
      <c r="C67" s="6">
        <v>0.54166666666666663</v>
      </c>
      <c r="D67" s="7" t="str">
        <f t="shared" si="1"/>
        <v>UTC-5</v>
      </c>
      <c r="E67" s="12">
        <v>4.7500000000000001E-2</v>
      </c>
    </row>
    <row r="68" spans="1:5" x14ac:dyDescent="0.3">
      <c r="A68" s="9">
        <v>38808</v>
      </c>
      <c r="B68" s="9">
        <v>38834</v>
      </c>
      <c r="C68" s="6">
        <v>0.54166666666666663</v>
      </c>
      <c r="D68" s="7" t="str">
        <f t="shared" si="1"/>
        <v>UTC-4</v>
      </c>
      <c r="E68" s="12">
        <v>4.8750000000000002E-2</v>
      </c>
    </row>
    <row r="69" spans="1:5" x14ac:dyDescent="0.3">
      <c r="A69" s="9">
        <v>38838</v>
      </c>
      <c r="B69" s="9">
        <v>38862</v>
      </c>
      <c r="C69" s="6">
        <v>0.54166666666666663</v>
      </c>
      <c r="D69" s="7" t="str">
        <f t="shared" si="1"/>
        <v>UTC-4</v>
      </c>
      <c r="E69" s="12">
        <v>4.8750000000000002E-2</v>
      </c>
    </row>
    <row r="70" spans="1:5" x14ac:dyDescent="0.3">
      <c r="A70" s="9">
        <v>38869</v>
      </c>
      <c r="B70" s="9">
        <v>38897</v>
      </c>
      <c r="C70" s="6">
        <v>0.54166666666666663</v>
      </c>
      <c r="D70" s="7" t="str">
        <f t="shared" si="1"/>
        <v>UTC-4</v>
      </c>
      <c r="E70" s="12">
        <v>5.1249999999999997E-2</v>
      </c>
    </row>
    <row r="71" spans="1:5" x14ac:dyDescent="0.3">
      <c r="A71" s="9">
        <v>38899</v>
      </c>
      <c r="B71" s="9">
        <v>38925</v>
      </c>
      <c r="C71" s="6">
        <v>0.54166666666666663</v>
      </c>
      <c r="D71" s="7" t="str">
        <f t="shared" si="1"/>
        <v>UTC-4</v>
      </c>
      <c r="E71" s="12">
        <v>4.8750000000000002E-2</v>
      </c>
    </row>
    <row r="72" spans="1:5" x14ac:dyDescent="0.3">
      <c r="A72" s="9">
        <v>38930</v>
      </c>
      <c r="B72" s="9">
        <v>38960</v>
      </c>
      <c r="C72" s="6">
        <v>0.54166666666666663</v>
      </c>
      <c r="D72" s="7" t="str">
        <f t="shared" si="1"/>
        <v>UTC-4</v>
      </c>
      <c r="E72" s="12">
        <v>4.6249999999999999E-2</v>
      </c>
    </row>
    <row r="73" spans="1:5" x14ac:dyDescent="0.3">
      <c r="A73" s="9">
        <v>38961</v>
      </c>
      <c r="B73" s="9">
        <v>38988</v>
      </c>
      <c r="C73" s="6">
        <v>0.54166666666666663</v>
      </c>
      <c r="D73" s="7" t="str">
        <f t="shared" si="1"/>
        <v>UTC-4</v>
      </c>
      <c r="E73" s="12">
        <v>4.4999999999999998E-2</v>
      </c>
    </row>
    <row r="74" spans="1:5" x14ac:dyDescent="0.3">
      <c r="A74" s="9">
        <v>38991</v>
      </c>
      <c r="B74" s="9">
        <v>39016</v>
      </c>
      <c r="C74" s="6">
        <v>0.54166666666666663</v>
      </c>
      <c r="D74" s="7" t="str">
        <f t="shared" si="1"/>
        <v>UTC-4</v>
      </c>
      <c r="E74" s="12">
        <v>4.6249999999999999E-2</v>
      </c>
    </row>
    <row r="75" spans="1:5" x14ac:dyDescent="0.3">
      <c r="A75" s="9">
        <v>39022</v>
      </c>
      <c r="B75" s="9">
        <v>39050</v>
      </c>
      <c r="C75" s="6">
        <v>0.54166666666666663</v>
      </c>
      <c r="D75" s="7" t="str">
        <f t="shared" si="1"/>
        <v>UTC-5</v>
      </c>
      <c r="E75" s="12">
        <v>4.4999999999999998E-2</v>
      </c>
    </row>
    <row r="76" spans="1:5" x14ac:dyDescent="0.3">
      <c r="A76" s="9">
        <v>39052</v>
      </c>
      <c r="B76" s="9">
        <v>39079</v>
      </c>
      <c r="C76" s="6">
        <v>0.54166666666666663</v>
      </c>
      <c r="D76" s="7" t="str">
        <f t="shared" si="1"/>
        <v>UTC-5</v>
      </c>
      <c r="E76" s="12">
        <v>4.6249999999999999E-2</v>
      </c>
    </row>
    <row r="77" spans="1:5" x14ac:dyDescent="0.3">
      <c r="A77" s="9">
        <v>39083</v>
      </c>
      <c r="B77" s="9">
        <v>39107</v>
      </c>
      <c r="C77" s="6">
        <v>0.54166666666666663</v>
      </c>
      <c r="D77" s="7" t="str">
        <f t="shared" si="1"/>
        <v>UTC-5</v>
      </c>
      <c r="E77" s="12">
        <v>4.7500000000000001E-2</v>
      </c>
    </row>
    <row r="78" spans="1:5" x14ac:dyDescent="0.3">
      <c r="A78" s="9">
        <v>39114</v>
      </c>
      <c r="B78" s="9">
        <v>39135</v>
      </c>
      <c r="C78" s="6">
        <v>0.54166666666666663</v>
      </c>
      <c r="D78" s="7" t="str">
        <f t="shared" si="1"/>
        <v>UTC-5</v>
      </c>
      <c r="E78" s="12">
        <v>4.6249999999999999E-2</v>
      </c>
    </row>
    <row r="79" spans="1:5" x14ac:dyDescent="0.3">
      <c r="A79" s="9">
        <v>39142</v>
      </c>
      <c r="B79" s="9">
        <v>39170</v>
      </c>
      <c r="C79" s="6">
        <v>0.54166666666666663</v>
      </c>
      <c r="D79" s="7" t="str">
        <f t="shared" si="1"/>
        <v>UTC-4</v>
      </c>
      <c r="E79" s="12">
        <v>4.4999999999999998E-2</v>
      </c>
    </row>
    <row r="80" spans="1:5" x14ac:dyDescent="0.3">
      <c r="A80" s="9">
        <v>39173</v>
      </c>
      <c r="B80" s="9">
        <v>39198</v>
      </c>
      <c r="C80" s="6">
        <v>0.54166666666666663</v>
      </c>
      <c r="D80" s="7" t="str">
        <f t="shared" si="1"/>
        <v>UTC-4</v>
      </c>
      <c r="E80" s="12">
        <v>4.4999999999999998E-2</v>
      </c>
    </row>
    <row r="81" spans="1:5" x14ac:dyDescent="0.3">
      <c r="A81" s="9">
        <v>39203</v>
      </c>
      <c r="B81" s="9">
        <v>39226</v>
      </c>
      <c r="C81" s="6">
        <v>0.54166666666666663</v>
      </c>
      <c r="D81" s="7" t="str">
        <f t="shared" si="1"/>
        <v>UTC-4</v>
      </c>
      <c r="E81" s="12">
        <v>4.7500000000000001E-2</v>
      </c>
    </row>
    <row r="82" spans="1:5" x14ac:dyDescent="0.3">
      <c r="A82" s="9">
        <v>39234</v>
      </c>
      <c r="B82" s="9">
        <v>39261</v>
      </c>
      <c r="C82" s="6">
        <v>0.54166666666666663</v>
      </c>
      <c r="D82" s="7" t="str">
        <f t="shared" si="1"/>
        <v>UTC-4</v>
      </c>
      <c r="E82" s="12">
        <v>4.8750000000000002E-2</v>
      </c>
    </row>
    <row r="83" spans="1:5" x14ac:dyDescent="0.3">
      <c r="A83" s="9">
        <v>39264</v>
      </c>
      <c r="B83" s="9">
        <v>39289</v>
      </c>
      <c r="C83" s="6">
        <v>0.54166666666666663</v>
      </c>
      <c r="D83" s="7" t="str">
        <f t="shared" si="1"/>
        <v>UTC-4</v>
      </c>
      <c r="E83" s="12">
        <v>4.6249999999999999E-2</v>
      </c>
    </row>
    <row r="84" spans="1:5" x14ac:dyDescent="0.3">
      <c r="A84" s="9">
        <v>39295</v>
      </c>
      <c r="B84" s="9">
        <v>39324</v>
      </c>
      <c r="C84" s="6">
        <v>0.54166666666666663</v>
      </c>
      <c r="D84" s="7" t="str">
        <f t="shared" si="1"/>
        <v>UTC-4</v>
      </c>
      <c r="E84" s="12">
        <v>4.1250000000000002E-2</v>
      </c>
    </row>
    <row r="85" spans="1:5" x14ac:dyDescent="0.3">
      <c r="A85" s="9">
        <v>39326</v>
      </c>
      <c r="B85" s="9">
        <v>39352</v>
      </c>
      <c r="C85" s="6">
        <v>0.54166666666666663</v>
      </c>
      <c r="D85" s="7" t="str">
        <f t="shared" si="1"/>
        <v>UTC-4</v>
      </c>
      <c r="E85" s="12">
        <v>4.2500000000000003E-2</v>
      </c>
    </row>
    <row r="86" spans="1:5" x14ac:dyDescent="0.3">
      <c r="A86" s="9">
        <v>39356</v>
      </c>
      <c r="B86" s="9">
        <v>39380</v>
      </c>
      <c r="C86" s="6">
        <v>0.54166666666666663</v>
      </c>
      <c r="D86" s="7" t="str">
        <f t="shared" si="1"/>
        <v>UTC-4</v>
      </c>
      <c r="E86" s="12">
        <v>3.875E-2</v>
      </c>
    </row>
    <row r="87" spans="1:5" x14ac:dyDescent="0.3">
      <c r="A87" s="9">
        <v>39387</v>
      </c>
      <c r="B87" s="9">
        <v>39415</v>
      </c>
      <c r="C87" s="6">
        <v>0.54166666666666663</v>
      </c>
      <c r="D87" s="7" t="str">
        <f t="shared" si="1"/>
        <v>UTC-5</v>
      </c>
      <c r="E87" s="12">
        <v>3.3750000000000002E-2</v>
      </c>
    </row>
    <row r="88" spans="1:5" x14ac:dyDescent="0.3">
      <c r="A88" s="9">
        <v>39417</v>
      </c>
      <c r="B88" s="9">
        <v>39443</v>
      </c>
      <c r="C88" s="6">
        <v>0.54166666666666663</v>
      </c>
      <c r="D88" s="7" t="str">
        <f t="shared" si="1"/>
        <v>UTC-5</v>
      </c>
      <c r="E88" s="12">
        <v>3.6249999999999998E-2</v>
      </c>
    </row>
    <row r="89" spans="1:5" x14ac:dyDescent="0.3">
      <c r="A89" s="9">
        <v>39448</v>
      </c>
      <c r="B89" s="9">
        <v>39476</v>
      </c>
      <c r="C89" s="6">
        <v>0.54166666666666663</v>
      </c>
      <c r="D89" s="7" t="str">
        <f t="shared" si="1"/>
        <v>UTC-5</v>
      </c>
      <c r="E89" s="12">
        <v>2.8750000000000001E-2</v>
      </c>
    </row>
    <row r="90" spans="1:5" x14ac:dyDescent="0.3">
      <c r="A90" s="9">
        <v>39479</v>
      </c>
      <c r="B90" s="9">
        <v>39505</v>
      </c>
      <c r="C90" s="6">
        <v>0.54166666666666663</v>
      </c>
      <c r="D90" s="7" t="str">
        <f t="shared" si="1"/>
        <v>UTC-5</v>
      </c>
      <c r="E90" s="12">
        <v>2.75E-2</v>
      </c>
    </row>
    <row r="91" spans="1:5" x14ac:dyDescent="0.3">
      <c r="A91" s="9">
        <v>39508</v>
      </c>
      <c r="B91" s="9">
        <v>39534</v>
      </c>
      <c r="C91" s="6">
        <v>0.54166666666666663</v>
      </c>
      <c r="D91" s="7" t="str">
        <f t="shared" si="1"/>
        <v>UTC-4</v>
      </c>
      <c r="E91" s="12">
        <v>2.5000000000000001E-2</v>
      </c>
    </row>
    <row r="92" spans="1:5" x14ac:dyDescent="0.3">
      <c r="A92" s="9">
        <v>39539</v>
      </c>
      <c r="B92" s="9">
        <v>39562</v>
      </c>
      <c r="C92" s="6">
        <v>0.54166666666666663</v>
      </c>
      <c r="D92" s="7" t="str">
        <f t="shared" si="1"/>
        <v>UTC-4</v>
      </c>
      <c r="E92" s="12">
        <v>3.125E-2</v>
      </c>
    </row>
    <row r="93" spans="1:5" x14ac:dyDescent="0.3">
      <c r="A93" s="9">
        <v>39569</v>
      </c>
      <c r="B93" s="9">
        <v>39597</v>
      </c>
      <c r="C93" s="6">
        <v>0.54166666666666663</v>
      </c>
      <c r="D93" s="7" t="str">
        <f t="shared" si="1"/>
        <v>UTC-4</v>
      </c>
      <c r="E93" s="12">
        <v>3.5000000000000003E-2</v>
      </c>
    </row>
    <row r="94" spans="1:5" x14ac:dyDescent="0.3">
      <c r="A94" s="9">
        <v>39600</v>
      </c>
      <c r="B94" s="9">
        <v>39625</v>
      </c>
      <c r="C94" s="6">
        <v>0.54166666666666663</v>
      </c>
      <c r="D94" s="7" t="str">
        <f t="shared" si="1"/>
        <v>UTC-4</v>
      </c>
      <c r="E94" s="12">
        <v>3.3750000000000002E-2</v>
      </c>
    </row>
    <row r="95" spans="1:5" x14ac:dyDescent="0.3">
      <c r="A95" s="9">
        <v>39661</v>
      </c>
      <c r="B95" s="9">
        <v>39688</v>
      </c>
      <c r="C95" s="6">
        <v>0.54166666666666663</v>
      </c>
      <c r="D95" s="7" t="str">
        <f t="shared" si="1"/>
        <v>UTC-4</v>
      </c>
      <c r="E95" s="12">
        <v>3.125E-2</v>
      </c>
    </row>
    <row r="96" spans="1:5" x14ac:dyDescent="0.3">
      <c r="A96" s="9">
        <v>39722</v>
      </c>
      <c r="B96" s="9">
        <v>39751</v>
      </c>
      <c r="C96" s="6">
        <v>0.54166666666666663</v>
      </c>
      <c r="D96" s="7" t="str">
        <f t="shared" si="1"/>
        <v>UTC-4</v>
      </c>
      <c r="E96" s="12">
        <v>2.75E-2</v>
      </c>
    </row>
    <row r="97" spans="1:5" x14ac:dyDescent="0.3">
      <c r="A97" s="9">
        <v>39753</v>
      </c>
      <c r="B97" s="9">
        <v>39777</v>
      </c>
      <c r="C97" s="6">
        <v>0.54166666666666663</v>
      </c>
      <c r="D97" s="7" t="str">
        <f t="shared" si="1"/>
        <v>UTC-5</v>
      </c>
      <c r="E97" s="12">
        <v>0.02</v>
      </c>
    </row>
    <row r="98" spans="1:5" x14ac:dyDescent="0.3">
      <c r="A98" s="9">
        <v>39783</v>
      </c>
      <c r="B98" s="9">
        <v>39805</v>
      </c>
      <c r="C98" s="6">
        <v>0.54166666666666663</v>
      </c>
      <c r="D98" s="7" t="str">
        <f t="shared" si="1"/>
        <v>UTC-5</v>
      </c>
      <c r="E98" s="12">
        <v>1.4999999999999999E-2</v>
      </c>
    </row>
    <row r="99" spans="1:5" x14ac:dyDescent="0.3">
      <c r="A99" s="9">
        <v>39814</v>
      </c>
      <c r="B99" s="9">
        <v>39842</v>
      </c>
      <c r="C99" s="6">
        <v>0.54166666666666663</v>
      </c>
      <c r="D99" s="7" t="str">
        <f t="shared" si="1"/>
        <v>UTC-5</v>
      </c>
      <c r="E99" s="12">
        <v>1.7500000000000002E-2</v>
      </c>
    </row>
    <row r="100" spans="1:5" x14ac:dyDescent="0.3">
      <c r="A100" s="9">
        <v>39845</v>
      </c>
      <c r="B100" s="9">
        <v>39869</v>
      </c>
      <c r="C100" s="6">
        <v>0.54166666666666663</v>
      </c>
      <c r="D100" s="7" t="str">
        <f t="shared" si="1"/>
        <v>UTC-5</v>
      </c>
      <c r="E100" s="12">
        <v>1.8749999999999999E-2</v>
      </c>
    </row>
    <row r="101" spans="1:5" x14ac:dyDescent="0.3">
      <c r="A101" s="9">
        <v>39873</v>
      </c>
      <c r="B101" s="9">
        <v>39897</v>
      </c>
      <c r="C101" s="6">
        <v>0.54166666666666663</v>
      </c>
      <c r="D101" s="7" t="str">
        <f t="shared" si="1"/>
        <v>UTC-4</v>
      </c>
      <c r="E101" s="12">
        <v>1.7500000000000002E-2</v>
      </c>
    </row>
    <row r="102" spans="1:5" x14ac:dyDescent="0.3">
      <c r="A102" s="9">
        <v>39904</v>
      </c>
      <c r="B102" s="9">
        <v>39931</v>
      </c>
      <c r="C102" s="6">
        <v>0.54166666666666663</v>
      </c>
      <c r="D102" s="7" t="str">
        <f t="shared" si="1"/>
        <v>UTC-4</v>
      </c>
      <c r="E102" s="12">
        <v>1.8749999999999999E-2</v>
      </c>
    </row>
    <row r="103" spans="1:5" x14ac:dyDescent="0.3">
      <c r="A103" s="9">
        <v>39934</v>
      </c>
      <c r="B103" s="9">
        <v>39960</v>
      </c>
      <c r="C103" s="6">
        <v>0.54166666666666663</v>
      </c>
      <c r="D103" s="7" t="str">
        <f t="shared" si="1"/>
        <v>UTC-4</v>
      </c>
      <c r="E103" s="12">
        <v>6.0999999999999997E-4</v>
      </c>
    </row>
    <row r="104" spans="1:5" x14ac:dyDescent="0.3">
      <c r="A104" s="9">
        <v>39965</v>
      </c>
      <c r="B104" s="9">
        <v>39988</v>
      </c>
      <c r="C104" s="6">
        <v>0.54166666666666663</v>
      </c>
      <c r="D104" s="7" t="str">
        <f t="shared" si="1"/>
        <v>UTC-4</v>
      </c>
      <c r="E104" s="12">
        <v>2.6249999999999999E-2</v>
      </c>
    </row>
    <row r="105" spans="1:5" x14ac:dyDescent="0.3">
      <c r="A105" s="9">
        <v>39995</v>
      </c>
      <c r="B105" s="9">
        <v>40023</v>
      </c>
      <c r="C105" s="6">
        <v>0.54166666666666663</v>
      </c>
      <c r="D105" s="7" t="str">
        <f t="shared" si="1"/>
        <v>UTC-4</v>
      </c>
      <c r="E105" s="12">
        <v>2.6249999999999999E-2</v>
      </c>
    </row>
    <row r="106" spans="1:5" x14ac:dyDescent="0.3">
      <c r="A106" s="9">
        <v>40026</v>
      </c>
      <c r="B106" s="9">
        <v>40051</v>
      </c>
      <c r="C106" s="6">
        <v>0.54166666666666663</v>
      </c>
      <c r="D106" s="7" t="str">
        <f t="shared" si="1"/>
        <v>UTC-4</v>
      </c>
      <c r="E106" s="12">
        <v>2.375E-2</v>
      </c>
    </row>
    <row r="107" spans="1:5" x14ac:dyDescent="0.3">
      <c r="A107" s="9">
        <v>40057</v>
      </c>
      <c r="B107" s="9">
        <v>40086</v>
      </c>
      <c r="C107" s="6">
        <v>0.54166666666666663</v>
      </c>
      <c r="D107" s="7" t="str">
        <f t="shared" si="1"/>
        <v>UTC-4</v>
      </c>
      <c r="E107" s="12">
        <v>2.375E-2</v>
      </c>
    </row>
    <row r="108" spans="1:5" x14ac:dyDescent="0.3">
      <c r="A108" s="9">
        <v>40087</v>
      </c>
      <c r="B108" s="9">
        <v>40114</v>
      </c>
      <c r="C108" s="6">
        <v>0.54166666666666663</v>
      </c>
      <c r="D108" s="7" t="str">
        <f t="shared" si="1"/>
        <v>UTC-4</v>
      </c>
      <c r="E108" s="12">
        <v>2.375E-2</v>
      </c>
    </row>
    <row r="109" spans="1:5" x14ac:dyDescent="0.3">
      <c r="A109" s="9">
        <v>40118</v>
      </c>
      <c r="B109" s="9">
        <v>40141</v>
      </c>
      <c r="C109" s="6">
        <v>0.54166666666666663</v>
      </c>
      <c r="D109" s="7" t="str">
        <f t="shared" si="1"/>
        <v>UTC-5</v>
      </c>
      <c r="E109" s="12">
        <v>2.1250000000000002E-2</v>
      </c>
    </row>
    <row r="110" spans="1:5" x14ac:dyDescent="0.3">
      <c r="A110" s="9">
        <v>40148</v>
      </c>
      <c r="B110" s="9">
        <v>40176</v>
      </c>
      <c r="C110" s="6">
        <v>0.54166666666666663</v>
      </c>
      <c r="D110" s="7" t="str">
        <f t="shared" si="1"/>
        <v>UTC-5</v>
      </c>
      <c r="E110" s="12">
        <v>2.6249999999999999E-2</v>
      </c>
    </row>
    <row r="111" spans="1:5" x14ac:dyDescent="0.3">
      <c r="A111" s="9">
        <v>40179</v>
      </c>
      <c r="B111" s="9">
        <v>40205</v>
      </c>
      <c r="C111" s="6">
        <v>0.54166666666666663</v>
      </c>
      <c r="D111" s="7" t="str">
        <f t="shared" si="1"/>
        <v>UTC-5</v>
      </c>
      <c r="E111" s="12">
        <v>2.2499999999999999E-2</v>
      </c>
    </row>
    <row r="112" spans="1:5" x14ac:dyDescent="0.3">
      <c r="A112" s="9">
        <v>40210</v>
      </c>
      <c r="B112" s="9">
        <v>40233</v>
      </c>
      <c r="C112" s="6">
        <v>0.54166666666666663</v>
      </c>
      <c r="D112" s="7" t="str">
        <f t="shared" si="1"/>
        <v>UTC-5</v>
      </c>
      <c r="E112" s="12">
        <v>2.375E-2</v>
      </c>
    </row>
    <row r="113" spans="1:5" x14ac:dyDescent="0.3">
      <c r="A113" s="9">
        <v>40238</v>
      </c>
      <c r="B113" s="9">
        <v>40261</v>
      </c>
      <c r="C113" s="6">
        <v>0.54166666666666663</v>
      </c>
      <c r="D113" s="7" t="str">
        <f t="shared" si="1"/>
        <v>UTC-4</v>
      </c>
      <c r="E113" s="12">
        <v>2.5000000000000001E-2</v>
      </c>
    </row>
    <row r="114" spans="1:5" x14ac:dyDescent="0.3">
      <c r="A114" s="9">
        <v>40269</v>
      </c>
      <c r="B114" s="9">
        <v>40296</v>
      </c>
      <c r="C114" s="6">
        <v>0.54166666666666663</v>
      </c>
      <c r="D114" s="7" t="str">
        <f t="shared" si="1"/>
        <v>UTC-4</v>
      </c>
      <c r="E114" s="12">
        <v>2.5000000000000001E-2</v>
      </c>
    </row>
    <row r="115" spans="1:5" x14ac:dyDescent="0.3">
      <c r="A115" s="9">
        <v>40299</v>
      </c>
      <c r="B115" s="9">
        <v>40324</v>
      </c>
      <c r="C115" s="6">
        <v>0.54166666666666663</v>
      </c>
      <c r="D115" s="7" t="str">
        <f t="shared" si="1"/>
        <v>UTC-4</v>
      </c>
      <c r="E115" s="12">
        <v>2.1399999999999999E-2</v>
      </c>
    </row>
    <row r="116" spans="1:5" x14ac:dyDescent="0.3">
      <c r="A116" s="9">
        <v>40330</v>
      </c>
      <c r="B116" s="9">
        <v>40352</v>
      </c>
      <c r="C116" s="6">
        <v>0.54166666666666663</v>
      </c>
      <c r="D116" s="7" t="str">
        <f t="shared" si="1"/>
        <v>UTC-4</v>
      </c>
      <c r="E116" s="12">
        <v>1.8749999999999999E-2</v>
      </c>
    </row>
    <row r="117" spans="1:5" x14ac:dyDescent="0.3">
      <c r="A117" s="9">
        <v>40360</v>
      </c>
      <c r="B117" s="9">
        <v>40387</v>
      </c>
      <c r="C117" s="6">
        <v>0.54166666666666663</v>
      </c>
      <c r="D117" s="7" t="str">
        <f t="shared" si="1"/>
        <v>UTC-4</v>
      </c>
      <c r="E117" s="12">
        <v>1.7500000000000002E-2</v>
      </c>
    </row>
    <row r="118" spans="1:5" x14ac:dyDescent="0.3">
      <c r="A118" s="9">
        <v>40391</v>
      </c>
      <c r="B118" s="9">
        <v>40415</v>
      </c>
      <c r="C118" s="6">
        <v>0.54166666666666663</v>
      </c>
      <c r="D118" s="7" t="str">
        <f t="shared" si="1"/>
        <v>UTC-4</v>
      </c>
      <c r="E118" s="12">
        <v>1.125E-2</v>
      </c>
    </row>
    <row r="119" spans="1:5" x14ac:dyDescent="0.3">
      <c r="A119" s="9">
        <v>40422</v>
      </c>
      <c r="B119" s="9">
        <v>40450</v>
      </c>
      <c r="C119" s="6">
        <v>0.54166666666666663</v>
      </c>
      <c r="D119" s="7" t="str">
        <f t="shared" si="1"/>
        <v>UTC-4</v>
      </c>
      <c r="E119" s="12">
        <v>1.2500000000000001E-2</v>
      </c>
    </row>
    <row r="120" spans="1:5" x14ac:dyDescent="0.3">
      <c r="A120" s="9">
        <v>40452</v>
      </c>
      <c r="B120" s="9">
        <v>40478</v>
      </c>
      <c r="C120" s="6">
        <v>0.54166666666666663</v>
      </c>
      <c r="D120" s="7" t="str">
        <f t="shared" si="1"/>
        <v>UTC-4</v>
      </c>
      <c r="E120" s="12">
        <v>1.2500000000000001E-2</v>
      </c>
    </row>
    <row r="121" spans="1:5" x14ac:dyDescent="0.3">
      <c r="A121" s="9">
        <v>40483</v>
      </c>
      <c r="B121" s="9">
        <v>40505</v>
      </c>
      <c r="C121" s="6">
        <v>0.54166666666666663</v>
      </c>
      <c r="D121" s="7" t="str">
        <f t="shared" si="1"/>
        <v>UTC-5</v>
      </c>
      <c r="E121" s="12">
        <v>1.375E-2</v>
      </c>
    </row>
    <row r="122" spans="1:5" x14ac:dyDescent="0.3">
      <c r="A122" s="9">
        <v>40513</v>
      </c>
      <c r="B122" s="9">
        <v>40534</v>
      </c>
      <c r="C122" s="6">
        <v>0.54166666666666663</v>
      </c>
      <c r="D122" s="7" t="str">
        <f t="shared" si="1"/>
        <v>UTC-5</v>
      </c>
      <c r="E122" s="12">
        <v>2.1250000000000002E-2</v>
      </c>
    </row>
    <row r="123" spans="1:5" x14ac:dyDescent="0.3">
      <c r="A123" s="9">
        <v>40544</v>
      </c>
      <c r="B123" s="9">
        <v>40569</v>
      </c>
      <c r="C123" s="6">
        <v>0.54166666666666663</v>
      </c>
      <c r="D123" s="7" t="str">
        <f t="shared" si="1"/>
        <v>UTC-5</v>
      </c>
      <c r="E123" s="12">
        <v>0.02</v>
      </c>
    </row>
    <row r="124" spans="1:5" x14ac:dyDescent="0.3">
      <c r="A124" s="9">
        <v>40575</v>
      </c>
      <c r="B124" s="9">
        <v>40597</v>
      </c>
      <c r="C124" s="6">
        <v>0.54166666666666663</v>
      </c>
      <c r="D124" s="7" t="str">
        <f t="shared" si="1"/>
        <v>UTC-5</v>
      </c>
      <c r="E124" s="12">
        <v>2.1250000000000002E-2</v>
      </c>
    </row>
    <row r="125" spans="1:5" x14ac:dyDescent="0.3">
      <c r="A125" s="9">
        <v>40603</v>
      </c>
      <c r="B125" s="9">
        <v>40631</v>
      </c>
      <c r="C125" s="6">
        <v>0.54166666666666663</v>
      </c>
      <c r="D125" s="7" t="str">
        <f t="shared" si="1"/>
        <v>UTC-4</v>
      </c>
      <c r="E125" s="12">
        <v>2.2499999999999999E-2</v>
      </c>
    </row>
    <row r="126" spans="1:5" x14ac:dyDescent="0.3">
      <c r="A126" s="9">
        <v>40634</v>
      </c>
      <c r="B126" s="9">
        <v>40660</v>
      </c>
      <c r="C126" s="6">
        <v>0.54166666666666663</v>
      </c>
      <c r="D126" s="7" t="str">
        <f t="shared" si="1"/>
        <v>UTC-4</v>
      </c>
      <c r="E126" s="12">
        <v>0.02</v>
      </c>
    </row>
    <row r="127" spans="1:5" x14ac:dyDescent="0.3">
      <c r="A127" s="9">
        <v>40664</v>
      </c>
      <c r="B127" s="9">
        <v>40688</v>
      </c>
      <c r="C127" s="6">
        <v>0.54166666666666663</v>
      </c>
      <c r="D127" s="7" t="str">
        <f t="shared" si="1"/>
        <v>UTC-4</v>
      </c>
      <c r="E127" s="12">
        <v>1.7500000000000002E-2</v>
      </c>
    </row>
    <row r="128" spans="1:5" x14ac:dyDescent="0.3">
      <c r="A128" s="9">
        <v>40695</v>
      </c>
      <c r="B128" s="9">
        <v>40722</v>
      </c>
      <c r="C128" s="6">
        <v>0.54166666666666663</v>
      </c>
      <c r="D128" s="7" t="str">
        <f t="shared" si="1"/>
        <v>UTC-4</v>
      </c>
      <c r="E128" s="12">
        <v>1.4999999999999999E-2</v>
      </c>
    </row>
    <row r="129" spans="1:5" x14ac:dyDescent="0.3">
      <c r="A129" s="9">
        <v>40725</v>
      </c>
      <c r="B129" s="9">
        <v>40751</v>
      </c>
      <c r="C129" s="6">
        <v>0.54166666666666663</v>
      </c>
      <c r="D129" s="7" t="str">
        <f t="shared" si="1"/>
        <v>UTC-4</v>
      </c>
      <c r="E129" s="12">
        <v>1.4999999999999999E-2</v>
      </c>
    </row>
    <row r="130" spans="1:5" x14ac:dyDescent="0.3">
      <c r="A130" s="9">
        <v>40756</v>
      </c>
      <c r="B130" s="9">
        <v>40779</v>
      </c>
      <c r="C130" s="6">
        <v>0.54166666666666663</v>
      </c>
      <c r="D130" s="7" t="str">
        <f t="shared" ref="D130:D13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2">
        <v>0.01</v>
      </c>
    </row>
    <row r="131" spans="1:5" x14ac:dyDescent="0.3">
      <c r="A131" s="9">
        <v>40787</v>
      </c>
      <c r="B131" s="9">
        <v>40814</v>
      </c>
      <c r="C131" s="6">
        <v>0.54166666666666663</v>
      </c>
      <c r="D131" s="7" t="str">
        <f t="shared" si="2"/>
        <v>UTC-4</v>
      </c>
      <c r="E131" s="12">
        <v>0.01</v>
      </c>
    </row>
    <row r="132" spans="1:5" x14ac:dyDescent="0.3">
      <c r="A132" s="9">
        <v>40817</v>
      </c>
      <c r="B132" s="9">
        <v>40842</v>
      </c>
      <c r="C132" s="6">
        <v>0.54166666666666663</v>
      </c>
      <c r="D132" s="7" t="str">
        <f t="shared" si="2"/>
        <v>UTC-4</v>
      </c>
      <c r="E132" s="12">
        <v>0.01</v>
      </c>
    </row>
    <row r="133" spans="1:5" x14ac:dyDescent="0.3">
      <c r="A133" s="9">
        <v>40848</v>
      </c>
      <c r="B133" s="9">
        <v>40870</v>
      </c>
      <c r="C133" s="6">
        <v>0.54166666666666663</v>
      </c>
      <c r="D133" s="7" t="str">
        <f t="shared" si="2"/>
        <v>UTC-5</v>
      </c>
      <c r="E133" s="12">
        <v>8.7500000000000008E-3</v>
      </c>
    </row>
    <row r="134" spans="1:5" x14ac:dyDescent="0.3">
      <c r="A134" s="9">
        <v>40909</v>
      </c>
      <c r="B134" s="5">
        <v>40933</v>
      </c>
      <c r="C134" s="6">
        <v>0.47916666666666669</v>
      </c>
      <c r="D134" s="7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UTC-5</v>
      </c>
      <c r="E134" s="12">
        <v>8.9899999999999997E-3</v>
      </c>
    </row>
    <row r="135" spans="1:5" x14ac:dyDescent="0.3">
      <c r="A135" s="9">
        <v>40940</v>
      </c>
      <c r="B135" s="5">
        <v>40961</v>
      </c>
      <c r="C135" s="6">
        <v>0.54166666666666663</v>
      </c>
      <c r="D135" s="7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UTC-5</v>
      </c>
      <c r="E135" s="12">
        <v>8.9999999999999993E-3</v>
      </c>
    </row>
    <row r="136" spans="1:5" x14ac:dyDescent="0.3">
      <c r="A136" s="9">
        <v>40969</v>
      </c>
      <c r="B136" s="5">
        <v>40996</v>
      </c>
      <c r="C136" s="6">
        <v>0.54166666666666663</v>
      </c>
      <c r="D136" s="7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12">
        <v>1.04E-2</v>
      </c>
    </row>
    <row r="137" spans="1:5" x14ac:dyDescent="0.3">
      <c r="A137" s="9">
        <v>41000</v>
      </c>
      <c r="B137" s="5">
        <v>41024</v>
      </c>
      <c r="C137" s="6">
        <v>0.54166666666666663</v>
      </c>
      <c r="D137" s="7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12">
        <v>8.8699999999999994E-3</v>
      </c>
    </row>
    <row r="138" spans="1:5" x14ac:dyDescent="0.3">
      <c r="A138" s="9">
        <v>41030</v>
      </c>
      <c r="B138" s="5">
        <v>41052</v>
      </c>
      <c r="C138" s="6">
        <v>0.54166666666666663</v>
      </c>
      <c r="D138" s="7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12">
        <v>7.4799999999999997E-3</v>
      </c>
    </row>
    <row r="139" spans="1:5" x14ac:dyDescent="0.3">
      <c r="A139" s="9">
        <v>41061</v>
      </c>
      <c r="B139" s="5">
        <v>41087</v>
      </c>
      <c r="C139" s="6">
        <v>0.54166666666666663</v>
      </c>
      <c r="D139" s="7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12">
        <v>7.5199999999999998E-3</v>
      </c>
    </row>
    <row r="140" spans="1:5" x14ac:dyDescent="0.3">
      <c r="A140" s="9">
        <v>41091</v>
      </c>
      <c r="B140" s="5">
        <v>41115</v>
      </c>
      <c r="C140" s="6">
        <v>0.54166666666666663</v>
      </c>
      <c r="D140" s="7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12">
        <v>5.8399999999999997E-3</v>
      </c>
    </row>
    <row r="141" spans="1:5" x14ac:dyDescent="0.3">
      <c r="A141" s="9">
        <v>41122</v>
      </c>
      <c r="B141" s="5">
        <v>41150</v>
      </c>
      <c r="C141" s="6">
        <v>0.54166666666666663</v>
      </c>
      <c r="D141" s="7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12">
        <v>7.0800000000000004E-3</v>
      </c>
    </row>
    <row r="142" spans="1:5" x14ac:dyDescent="0.3">
      <c r="A142" s="9">
        <v>41153</v>
      </c>
      <c r="B142" s="5">
        <v>41178</v>
      </c>
      <c r="C142" s="6">
        <v>0.54166666666666663</v>
      </c>
      <c r="D142" s="7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UTC-4</v>
      </c>
      <c r="E142" s="12">
        <v>6.4700000000000001E-3</v>
      </c>
    </row>
    <row r="143" spans="1:5" x14ac:dyDescent="0.3">
      <c r="A143" s="9">
        <v>41183</v>
      </c>
      <c r="B143" s="5">
        <v>41206</v>
      </c>
      <c r="C143" s="6">
        <v>0.54166666666666663</v>
      </c>
      <c r="D143" s="7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UTC-4</v>
      </c>
      <c r="E143" s="12">
        <v>7.7400000000000004E-3</v>
      </c>
    </row>
    <row r="144" spans="1:5" x14ac:dyDescent="0.3">
      <c r="A144" s="9">
        <v>41214</v>
      </c>
      <c r="B144" s="5">
        <v>41241</v>
      </c>
      <c r="C144" s="6">
        <v>0.54166666666666663</v>
      </c>
      <c r="D144" s="7" t="str">
        <f>IF(
 AND(
  B144 &gt;= IF(
         YEAR(B144)&gt;=2007,
         DATE(YEAR(B144),3,14)-WEEKDAY(DATE(YEAR(B144),3,14),1)+1 + TIME(2,0,0),
         DATE(YEAR(B144),4,7)-WEEKDAY(DATE(YEAR(B144),4,7),1)+1 + TIME(2,0,0)
       ),
  B144 &lt;  IF(
         YEAR(B144)&gt;=2007,
         DATE(YEAR(B144),11,7)-WEEKDAY(DATE(YEAR(B144),11,7),1)+1 + TIME(2,0,0),
         DATE(YEAR(B144),10,31)-WEEKDAY(DATE(YEAR(B144),10,31),1) + TIME(2,0,0)
       )
 ),
 "UTC-4",
 "UTC-5"
)</f>
        <v>UTC-5</v>
      </c>
      <c r="E144" s="12">
        <v>6.4099999999999999E-3</v>
      </c>
    </row>
    <row r="145" spans="1:5" x14ac:dyDescent="0.3">
      <c r="A145" s="9">
        <v>41244</v>
      </c>
      <c r="B145" s="5">
        <v>41261</v>
      </c>
      <c r="C145" s="6">
        <v>0.54166666666666663</v>
      </c>
      <c r="D145" s="7" t="str">
        <f>IF(
 AND(
  B145 &gt;= IF(
         YEAR(B145)&gt;=2007,
         DATE(YEAR(B145),3,14)-WEEKDAY(DATE(YEAR(B145),3,14),1)+1 + TIME(2,0,0),
         DATE(YEAR(B145),4,7)-WEEKDAY(DATE(YEAR(B145),4,7),1)+1 + TIME(2,0,0)
       ),
  B145 &lt;  IF(
         YEAR(B145)&gt;=2007,
         DATE(YEAR(B145),11,7)-WEEKDAY(DATE(YEAR(B145),11,7),1)+1 + TIME(2,0,0),
         DATE(YEAR(B145),10,31)-WEEKDAY(DATE(YEAR(B145),10,31),1) + TIME(2,0,0)
       )
 ),
 "UTC-4",
 "UTC-5"
)</f>
        <v>UTC-5</v>
      </c>
      <c r="E145" s="12">
        <v>7.6899999999999998E-3</v>
      </c>
    </row>
    <row r="146" spans="1:5" x14ac:dyDescent="0.3">
      <c r="A146" s="9">
        <v>41275</v>
      </c>
      <c r="B146" s="5">
        <v>41303</v>
      </c>
      <c r="C146" s="6">
        <v>0.54166666666666663</v>
      </c>
      <c r="D146" s="7" t="str">
        <f>IF(
 AND(
  B146 &gt;= IF(
         YEAR(B146)&gt;=2007,
         DATE(YEAR(B146),3,14)-WEEKDAY(DATE(YEAR(B146),3,14),1)+1 + TIME(2,0,0),
         DATE(YEAR(B146),4,7)-WEEKDAY(DATE(YEAR(B146),4,7),1)+1 + TIME(2,0,0)
       ),
  B146 &lt;  IF(
         YEAR(B146)&gt;=2007,
         DATE(YEAR(B146),11,7)-WEEKDAY(DATE(YEAR(B146),11,7),1)+1 + TIME(2,0,0),
         DATE(YEAR(B146),10,31)-WEEKDAY(DATE(YEAR(B146),10,31),1) + TIME(2,0,0)
       )
 ),
 "UTC-4",
 "UTC-5"
)</f>
        <v>UTC-5</v>
      </c>
      <c r="E146" s="12">
        <v>8.8900000000000003E-3</v>
      </c>
    </row>
    <row r="147" spans="1:5" x14ac:dyDescent="0.3">
      <c r="A147" s="9">
        <v>41306</v>
      </c>
      <c r="B147" s="5">
        <v>41331</v>
      </c>
      <c r="C147" s="6">
        <v>0.54166666666666663</v>
      </c>
      <c r="D147" s="7" t="str">
        <f>IF(
 AND(
  B147 &gt;= IF(
         YEAR(B147)&gt;=2007,
         DATE(YEAR(B147),3,14)-WEEKDAY(DATE(YEAR(B147),3,14),1)+1 + TIME(2,0,0),
         DATE(YEAR(B147),4,7)-WEEKDAY(DATE(YEAR(B147),4,7),1)+1 + TIME(2,0,0)
       ),
  B147 &lt;  IF(
         YEAR(B147)&gt;=2007,
         DATE(YEAR(B147),11,7)-WEEKDAY(DATE(YEAR(B147),11,7),1)+1 + TIME(2,0,0),
         DATE(YEAR(B147),10,31)-WEEKDAY(DATE(YEAR(B147),10,31),1) + TIME(2,0,0)
       )
 ),
 "UTC-4",
 "UTC-5"
)</f>
        <v>UTC-5</v>
      </c>
      <c r="E147" s="12">
        <v>7.77E-3</v>
      </c>
    </row>
    <row r="148" spans="1:5" x14ac:dyDescent="0.3">
      <c r="A148" s="9">
        <v>41334</v>
      </c>
      <c r="B148" s="5">
        <v>41360</v>
      </c>
      <c r="C148" s="6">
        <v>0.54166666666666663</v>
      </c>
      <c r="D148" s="7" t="str">
        <f>IF(
 AND(
  B148 &gt;= IF(
         YEAR(B148)&gt;=2007,
         DATE(YEAR(B148),3,14)-WEEKDAY(DATE(YEAR(B148),3,14),1)+1 + TIME(2,0,0),
         DATE(YEAR(B148),4,7)-WEEKDAY(DATE(YEAR(B148),4,7),1)+1 + TIME(2,0,0)
       ),
  B148 &lt;  IF(
         YEAR(B148)&gt;=2007,
         DATE(YEAR(B148),11,7)-WEEKDAY(DATE(YEAR(B148),11,7),1)+1 + TIME(2,0,0),
         DATE(YEAR(B148),10,31)-WEEKDAY(DATE(YEAR(B148),10,31),1) + TIME(2,0,0)
       )
 ),
 "UTC-4",
 "UTC-5"
)</f>
        <v>UTC-4</v>
      </c>
      <c r="E148" s="12">
        <v>7.6E-3</v>
      </c>
    </row>
    <row r="149" spans="1:5" x14ac:dyDescent="0.3">
      <c r="A149" s="9">
        <v>41365</v>
      </c>
      <c r="B149" s="5">
        <v>41388</v>
      </c>
      <c r="C149" s="6">
        <v>0.54166666666666663</v>
      </c>
      <c r="D149" s="7" t="str">
        <f>IF(
 AND(
  B149 &gt;= IF(
         YEAR(B149)&gt;=2007,
         DATE(YEAR(B149),3,14)-WEEKDAY(DATE(YEAR(B149),3,14),1)+1 + TIME(2,0,0),
         DATE(YEAR(B149),4,7)-WEEKDAY(DATE(YEAR(B149),4,7),1)+1 + TIME(2,0,0)
       ),
  B149 &lt;  IF(
         YEAR(B149)&gt;=2007,
         DATE(YEAR(B149),11,7)-WEEKDAY(DATE(YEAR(B149),11,7),1)+1 + TIME(2,0,0),
         DATE(YEAR(B149),10,31)-WEEKDAY(DATE(YEAR(B149),10,31),1) + TIME(2,0,0)
       )
 ),
 "UTC-4",
 "UTC-5"
)</f>
        <v>UTC-4</v>
      </c>
      <c r="E149" s="12">
        <v>7.1000000000000004E-3</v>
      </c>
    </row>
    <row r="150" spans="1:5" x14ac:dyDescent="0.3">
      <c r="A150" s="9">
        <v>41395</v>
      </c>
      <c r="B150" s="5">
        <v>41423</v>
      </c>
      <c r="C150" s="6">
        <v>0.54166666666666663</v>
      </c>
      <c r="D150" s="7" t="str">
        <f>IF(
 AND(
  B150 &gt;= IF(
         YEAR(B150)&gt;=2007,
         DATE(YEAR(B150),3,14)-WEEKDAY(DATE(YEAR(B150),3,14),1)+1 + TIME(2,0,0),
         DATE(YEAR(B150),4,7)-WEEKDAY(DATE(YEAR(B150),4,7),1)+1 + TIME(2,0,0)
       ),
  B150 &lt;  IF(
         YEAR(B150)&gt;=2007,
         DATE(YEAR(B150),11,7)-WEEKDAY(DATE(YEAR(B150),11,7),1)+1 + TIME(2,0,0),
         DATE(YEAR(B150),10,31)-WEEKDAY(DATE(YEAR(B150),10,31),1) + TIME(2,0,0)
       )
 ),
 "UTC-4",
 "UTC-5"
)</f>
        <v>UTC-4</v>
      </c>
      <c r="E150" s="12">
        <v>1.0449999999999999E-2</v>
      </c>
    </row>
    <row r="151" spans="1:5" x14ac:dyDescent="0.3">
      <c r="A151" s="9">
        <v>41426</v>
      </c>
      <c r="B151" s="5">
        <v>41451</v>
      </c>
      <c r="C151" s="6">
        <v>0.54166666666666663</v>
      </c>
      <c r="D151" s="7" t="str">
        <f>IF(
 AND(
  B151 &gt;= IF(
         YEAR(B151)&gt;=2007,
         DATE(YEAR(B151),3,14)-WEEKDAY(DATE(YEAR(B151),3,14),1)+1 + TIME(2,0,0),
         DATE(YEAR(B151),4,7)-WEEKDAY(DATE(YEAR(B151),4,7),1)+1 + TIME(2,0,0)
       ),
  B151 &lt;  IF(
         YEAR(B151)&gt;=2007,
         DATE(YEAR(B151),11,7)-WEEKDAY(DATE(YEAR(B151),11,7),1)+1 + TIME(2,0,0),
         DATE(YEAR(B151),10,31)-WEEKDAY(DATE(YEAR(B151),10,31),1) + TIME(2,0,0)
       )
 ),
 "UTC-4",
 "UTC-5"
)</f>
        <v>UTC-4</v>
      </c>
      <c r="E151" s="12">
        <v>1.4840000000000001E-2</v>
      </c>
    </row>
    <row r="152" spans="1:5" x14ac:dyDescent="0.3">
      <c r="A152" s="9">
        <v>41456</v>
      </c>
      <c r="B152" s="5">
        <v>41479</v>
      </c>
      <c r="C152" s="6">
        <v>0.54166666666666663</v>
      </c>
      <c r="D152" s="7" t="str">
        <f>IF(
 AND(
  B152 &gt;= IF(
         YEAR(B152)&gt;=2007,
         DATE(YEAR(B152),3,14)-WEEKDAY(DATE(YEAR(B152),3,14),1)+1 + TIME(2,0,0),
         DATE(YEAR(B152),4,7)-WEEKDAY(DATE(YEAR(B152),4,7),1)+1 + TIME(2,0,0)
       ),
  B152 &lt;  IF(
         YEAR(B152)&gt;=2007,
         DATE(YEAR(B152),11,7)-WEEKDAY(DATE(YEAR(B152),11,7),1)+1 + TIME(2,0,0),
         DATE(YEAR(B152),10,31)-WEEKDAY(DATE(YEAR(B152),10,31),1) + TIME(2,0,0)
       )
 ),
 "UTC-4",
 "UTC-5"
)</f>
        <v>UTC-4</v>
      </c>
      <c r="E152" s="12">
        <v>1.41E-2</v>
      </c>
    </row>
    <row r="153" spans="1:5" x14ac:dyDescent="0.3">
      <c r="A153" s="9">
        <v>41487</v>
      </c>
      <c r="B153" s="5">
        <v>41514</v>
      </c>
      <c r="C153" s="6">
        <v>0.54166666666666663</v>
      </c>
      <c r="D153" s="7" t="str">
        <f>IF(
 AND(
  B153 &gt;= IF(
         YEAR(B153)&gt;=2007,
         DATE(YEAR(B153),3,14)-WEEKDAY(DATE(YEAR(B153),3,14),1)+1 + TIME(2,0,0),
         DATE(YEAR(B153),4,7)-WEEKDAY(DATE(YEAR(B153),4,7),1)+1 + TIME(2,0,0)
       ),
  B153 &lt;  IF(
         YEAR(B153)&gt;=2007,
         DATE(YEAR(B153),11,7)-WEEKDAY(DATE(YEAR(B153),11,7),1)+1 + TIME(2,0,0),
         DATE(YEAR(B153),10,31)-WEEKDAY(DATE(YEAR(B153),10,31),1) + TIME(2,0,0)
       )
 ),
 "UTC-4",
 "UTC-5"
)</f>
        <v>UTC-4</v>
      </c>
      <c r="E153" s="12">
        <v>1.6240000000000001E-2</v>
      </c>
    </row>
    <row r="154" spans="1:5" x14ac:dyDescent="0.3">
      <c r="A154" s="9">
        <v>41518</v>
      </c>
      <c r="B154" s="5">
        <v>41542</v>
      </c>
      <c r="C154" s="6">
        <v>0.54166666666666663</v>
      </c>
      <c r="D154" s="7" t="str">
        <f>IF(
 AND(
  B154 &gt;= IF(
         YEAR(B154)&gt;=2007,
         DATE(YEAR(B154),3,14)-WEEKDAY(DATE(YEAR(B154),3,14),1)+1 + TIME(2,0,0),
         DATE(YEAR(B154),4,7)-WEEKDAY(DATE(YEAR(B154),4,7),1)+1 + TIME(2,0,0)
       ),
  B154 &lt;  IF(
         YEAR(B154)&gt;=2007,
         DATE(YEAR(B154),11,7)-WEEKDAY(DATE(YEAR(B154),11,7),1)+1 + TIME(2,0,0),
         DATE(YEAR(B154),10,31)-WEEKDAY(DATE(YEAR(B154),10,31),1) + TIME(2,0,0)
       )
 ),
 "UTC-4",
 "UTC-5"
)</f>
        <v>UTC-4</v>
      </c>
      <c r="E154" s="12">
        <v>1.436E-2</v>
      </c>
    </row>
    <row r="155" spans="1:5" x14ac:dyDescent="0.3">
      <c r="A155" s="9">
        <v>41548</v>
      </c>
      <c r="B155" s="5">
        <v>41576</v>
      </c>
      <c r="C155" s="6">
        <v>0.54166666666666663</v>
      </c>
      <c r="D155" s="7" t="str">
        <f>IF(
 AND(
  B155 &gt;= IF(
         YEAR(B155)&gt;=2007,
         DATE(YEAR(B155),3,14)-WEEKDAY(DATE(YEAR(B155),3,14),1)+1 + TIME(2,0,0),
         DATE(YEAR(B155),4,7)-WEEKDAY(DATE(YEAR(B155),4,7),1)+1 + TIME(2,0,0)
       ),
  B155 &lt;  IF(
         YEAR(B155)&gt;=2007,
         DATE(YEAR(B155),11,7)-WEEKDAY(DATE(YEAR(B155),11,7),1)+1 + TIME(2,0,0),
         DATE(YEAR(B155),10,31)-WEEKDAY(DATE(YEAR(B155),10,31),1) + TIME(2,0,0)
       )
 ),
 "UTC-4",
 "UTC-5"
)</f>
        <v>UTC-4</v>
      </c>
      <c r="E155" s="12">
        <v>1.2999999999999999E-2</v>
      </c>
    </row>
    <row r="156" spans="1:5" x14ac:dyDescent="0.3">
      <c r="A156" s="9">
        <v>41579</v>
      </c>
      <c r="B156" s="5">
        <v>41604</v>
      </c>
      <c r="C156" s="6">
        <v>0.54166666666666663</v>
      </c>
      <c r="D156" s="7" t="str">
        <f>IF(
 AND(
  B156 &gt;= IF(
         YEAR(B156)&gt;=2007,
         DATE(YEAR(B156),3,14)-WEEKDAY(DATE(YEAR(B156),3,14),1)+1 + TIME(2,0,0),
         DATE(YEAR(B156),4,7)-WEEKDAY(DATE(YEAR(B156),4,7),1)+1 + TIME(2,0,0)
       ),
  B156 &lt;  IF(
         YEAR(B156)&gt;=2007,
         DATE(YEAR(B156),11,7)-WEEKDAY(DATE(YEAR(B156),11,7),1)+1 + TIME(2,0,0),
         DATE(YEAR(B156),10,31)-WEEKDAY(DATE(YEAR(B156),10,31),1) + TIME(2,0,0)
       )
 ),
 "UTC-4",
 "UTC-5"
)</f>
        <v>UTC-5</v>
      </c>
      <c r="E156" s="12">
        <v>1.34E-2</v>
      </c>
    </row>
    <row r="157" spans="1:5" x14ac:dyDescent="0.3">
      <c r="A157" s="9">
        <v>41609</v>
      </c>
      <c r="B157" s="5">
        <v>41626</v>
      </c>
      <c r="C157" s="6">
        <v>0.47916666666666669</v>
      </c>
      <c r="D157" s="7" t="str">
        <f>IF(
 AND(
  B157 &gt;= IF(
         YEAR(B157)&gt;=2007,
         DATE(YEAR(B157),3,14)-WEEKDAY(DATE(YEAR(B157),3,14),1)+1 + TIME(2,0,0),
         DATE(YEAR(B157),4,7)-WEEKDAY(DATE(YEAR(B157),4,7),1)+1 + TIME(2,0,0)
       ),
  B157 &lt;  IF(
         YEAR(B157)&gt;=2007,
         DATE(YEAR(B157),11,7)-WEEKDAY(DATE(YEAR(B157),11,7),1)+1 + TIME(2,0,0),
         DATE(YEAR(B157),10,31)-WEEKDAY(DATE(YEAR(B157),10,31),1) + TIME(2,0,0)
       )
 ),
 "UTC-4",
 "UTC-5"
)</f>
        <v>UTC-5</v>
      </c>
      <c r="E157" s="12">
        <v>1.6E-2</v>
      </c>
    </row>
    <row r="158" spans="1:5" x14ac:dyDescent="0.3">
      <c r="A158" s="9">
        <v>41640</v>
      </c>
      <c r="B158" s="5">
        <v>41669</v>
      </c>
      <c r="C158" s="6">
        <v>0.54166666666666663</v>
      </c>
      <c r="D158" s="7" t="str">
        <f>IF(
 AND(
  B158 &gt;= IF(
         YEAR(B158)&gt;=2007,
         DATE(YEAR(B158),3,14)-WEEKDAY(DATE(YEAR(B158),3,14),1)+1 + TIME(2,0,0),
         DATE(YEAR(B158),4,7)-WEEKDAY(DATE(YEAR(B158),4,7),1)+1 + TIME(2,0,0)
       ),
  B158 &lt;  IF(
         YEAR(B158)&gt;=2007,
         DATE(YEAR(B158),11,7)-WEEKDAY(DATE(YEAR(B158),11,7),1)+1 + TIME(2,0,0),
         DATE(YEAR(B158),10,31)-WEEKDAY(DATE(YEAR(B158),10,31),1) + TIME(2,0,0)
       )
 ),
 "UTC-4",
 "UTC-5"
)</f>
        <v>UTC-5</v>
      </c>
      <c r="E158" s="12">
        <v>1.5720000000000001E-2</v>
      </c>
    </row>
    <row r="159" spans="1:5" x14ac:dyDescent="0.3">
      <c r="A159" s="9">
        <v>41671</v>
      </c>
      <c r="B159" s="5">
        <v>41696</v>
      </c>
      <c r="C159" s="6">
        <v>0.54166666666666663</v>
      </c>
      <c r="D159" s="7" t="str">
        <f>IF(
 AND(
  B159 &gt;= IF(
         YEAR(B159)&gt;=2007,
         DATE(YEAR(B159),3,14)-WEEKDAY(DATE(YEAR(B159),3,14),1)+1 + TIME(2,0,0),
         DATE(YEAR(B159),4,7)-WEEKDAY(DATE(YEAR(B159),4,7),1)+1 + TIME(2,0,0)
       ),
  B159 &lt;  IF(
         YEAR(B159)&gt;=2007,
         DATE(YEAR(B159),11,7)-WEEKDAY(DATE(YEAR(B159),11,7),1)+1 + TIME(2,0,0),
         DATE(YEAR(B159),10,31)-WEEKDAY(DATE(YEAR(B159),10,31),1) + TIME(2,0,0)
       )
 ),
 "UTC-4",
 "UTC-5"
)</f>
        <v>UTC-5</v>
      </c>
      <c r="E159" s="12">
        <v>1.5299999999999999E-2</v>
      </c>
    </row>
    <row r="160" spans="1:5" x14ac:dyDescent="0.3">
      <c r="A160" s="9">
        <v>41699</v>
      </c>
      <c r="B160" s="5">
        <v>41724</v>
      </c>
      <c r="C160" s="6">
        <v>0.54166666666666663</v>
      </c>
      <c r="D160" s="7" t="str">
        <f>IF(
 AND(
  B160 &gt;= IF(
         YEAR(B160)&gt;=2007,
         DATE(YEAR(B160),3,14)-WEEKDAY(DATE(YEAR(B160),3,14),1)+1 + TIME(2,0,0),
         DATE(YEAR(B160),4,7)-WEEKDAY(DATE(YEAR(B160),4,7),1)+1 + TIME(2,0,0)
       ),
  B160 &lt;  IF(
         YEAR(B160)&gt;=2007,
         DATE(YEAR(B160),11,7)-WEEKDAY(DATE(YEAR(B160),11,7),1)+1 + TIME(2,0,0),
         DATE(YEAR(B160),10,31)-WEEKDAY(DATE(YEAR(B160),10,31),1) + TIME(2,0,0)
       )
 ),
 "UTC-4",
 "UTC-5"
)</f>
        <v>UTC-4</v>
      </c>
      <c r="E160" s="12">
        <v>1.7149999999999999E-2</v>
      </c>
    </row>
    <row r="161" spans="1:5" x14ac:dyDescent="0.3">
      <c r="A161" s="9">
        <v>41730</v>
      </c>
      <c r="B161" s="5">
        <v>41752</v>
      </c>
      <c r="C161" s="6">
        <v>0.54166666666666663</v>
      </c>
      <c r="D161" s="7" t="str">
        <f>IF(
 AND(
  B161 &gt;= IF(
         YEAR(B161)&gt;=2007,
         DATE(YEAR(B161),3,14)-WEEKDAY(DATE(YEAR(B161),3,14),1)+1 + TIME(2,0,0),
         DATE(YEAR(B161),4,7)-WEEKDAY(DATE(YEAR(B161),4,7),1)+1 + TIME(2,0,0)
       ),
  B161 &lt;  IF(
         YEAR(B161)&gt;=2007,
         DATE(YEAR(B161),11,7)-WEEKDAY(DATE(YEAR(B161),11,7),1)+1 + TIME(2,0,0),
         DATE(YEAR(B161),10,31)-WEEKDAY(DATE(YEAR(B161),10,31),1) + TIME(2,0,0)
       )
 ),
 "UTC-4",
 "UTC-5"
)</f>
        <v>UTC-4</v>
      </c>
      <c r="E161" s="12">
        <v>1.7319999999999999E-2</v>
      </c>
    </row>
    <row r="162" spans="1:5" x14ac:dyDescent="0.3">
      <c r="A162" s="9">
        <v>41760</v>
      </c>
      <c r="B162" s="5">
        <v>41787</v>
      </c>
      <c r="C162" s="6">
        <v>0.54166666666666663</v>
      </c>
      <c r="D162" s="7" t="str">
        <f>IF(
 AND(
  B162 &gt;= IF(
         YEAR(B162)&gt;=2007,
         DATE(YEAR(B162),3,14)-WEEKDAY(DATE(YEAR(B162),3,14),1)+1 + TIME(2,0,0),
         DATE(YEAR(B162),4,7)-WEEKDAY(DATE(YEAR(B162),4,7),1)+1 + TIME(2,0,0)
       ),
  B162 &lt;  IF(
         YEAR(B162)&gt;=2007,
         DATE(YEAR(B162),11,7)-WEEKDAY(DATE(YEAR(B162),11,7),1)+1 + TIME(2,0,0),
         DATE(YEAR(B162),10,31)-WEEKDAY(DATE(YEAR(B162),10,31),1) + TIME(2,0,0)
       )
 ),
 "UTC-4",
 "UTC-5"
)</f>
        <v>UTC-4</v>
      </c>
      <c r="E162" s="12">
        <v>1.5129999999999999E-2</v>
      </c>
    </row>
    <row r="163" spans="1:5" x14ac:dyDescent="0.3">
      <c r="A163" s="9">
        <v>41791</v>
      </c>
      <c r="B163" s="5">
        <v>41815</v>
      </c>
      <c r="C163" s="6">
        <v>0.54166666666666663</v>
      </c>
      <c r="D163" s="7" t="str">
        <f>IF(
 AND(
  B163 &gt;= IF(
         YEAR(B163)&gt;=2007,
         DATE(YEAR(B163),3,14)-WEEKDAY(DATE(YEAR(B163),3,14),1)+1 + TIME(2,0,0),
         DATE(YEAR(B163),4,7)-WEEKDAY(DATE(YEAR(B163),4,7),1)+1 + TIME(2,0,0)
       ),
  B163 &lt;  IF(
         YEAR(B163)&gt;=2007,
         DATE(YEAR(B163),11,7)-WEEKDAY(DATE(YEAR(B163),11,7),1)+1 + TIME(2,0,0),
         DATE(YEAR(B163),10,31)-WEEKDAY(DATE(YEAR(B163),10,31),1) + TIME(2,0,0)
       )
 ),
 "UTC-4",
 "UTC-5"
)</f>
        <v>UTC-4</v>
      </c>
      <c r="E163" s="12">
        <v>1.67E-2</v>
      </c>
    </row>
    <row r="164" spans="1:5" x14ac:dyDescent="0.3">
      <c r="A164" s="9">
        <v>41821</v>
      </c>
      <c r="B164" s="5">
        <v>41849</v>
      </c>
      <c r="C164" s="6">
        <v>0.54166666666666663</v>
      </c>
      <c r="D164" s="7" t="str">
        <f>IF(
 AND(
  B164 &gt;= IF(
         YEAR(B164)&gt;=2007,
         DATE(YEAR(B164),3,14)-WEEKDAY(DATE(YEAR(B164),3,14),1)+1 + TIME(2,0,0),
         DATE(YEAR(B164),4,7)-WEEKDAY(DATE(YEAR(B164),4,7),1)+1 + TIME(2,0,0)
       ),
  B164 &lt;  IF(
         YEAR(B164)&gt;=2007,
         DATE(YEAR(B164),11,7)-WEEKDAY(DATE(YEAR(B164),11,7),1)+1 + TIME(2,0,0),
         DATE(YEAR(B164),10,31)-WEEKDAY(DATE(YEAR(B164),10,31),1) + TIME(2,0,0)
       )
 ),
 "UTC-4",
 "UTC-5"
)</f>
        <v>UTC-4</v>
      </c>
      <c r="E164" s="12">
        <v>1.72E-2</v>
      </c>
    </row>
    <row r="165" spans="1:5" x14ac:dyDescent="0.3">
      <c r="A165" s="9">
        <v>41852</v>
      </c>
      <c r="B165" s="5">
        <v>41878</v>
      </c>
      <c r="C165" s="6">
        <v>0.54166666666666663</v>
      </c>
      <c r="D165" s="7" t="str">
        <f>IF(
 AND(
  B165 &gt;= IF(
         YEAR(B165)&gt;=2007,
         DATE(YEAR(B165),3,14)-WEEKDAY(DATE(YEAR(B165),3,14),1)+1 + TIME(2,0,0),
         DATE(YEAR(B165),4,7)-WEEKDAY(DATE(YEAR(B165),4,7),1)+1 + TIME(2,0,0)
       ),
  B165 &lt;  IF(
         YEAR(B165)&gt;=2007,
         DATE(YEAR(B165),11,7)-WEEKDAY(DATE(YEAR(B165),11,7),1)+1 + TIME(2,0,0),
         DATE(YEAR(B165),10,31)-WEEKDAY(DATE(YEAR(B165),10,31),1) + TIME(2,0,0)
       )
 ),
 "UTC-4",
 "UTC-5"
)</f>
        <v>UTC-4</v>
      </c>
      <c r="E165" s="12">
        <v>1.6459999999999999E-2</v>
      </c>
    </row>
    <row r="166" spans="1:5" x14ac:dyDescent="0.3">
      <c r="A166" s="9">
        <v>41883</v>
      </c>
      <c r="B166" s="5">
        <v>41906</v>
      </c>
      <c r="C166" s="6">
        <v>0.54166666666666663</v>
      </c>
      <c r="D166" s="7" t="str">
        <f>IF(
 AND(
  B166 &gt;= IF(
         YEAR(B166)&gt;=2007,
         DATE(YEAR(B166),3,14)-WEEKDAY(DATE(YEAR(B166),3,14),1)+1 + TIME(2,0,0),
         DATE(YEAR(B166),4,7)-WEEKDAY(DATE(YEAR(B166),4,7),1)+1 + TIME(2,0,0)
       ),
  B166 &lt;  IF(
         YEAR(B166)&gt;=2007,
         DATE(YEAR(B166),11,7)-WEEKDAY(DATE(YEAR(B166),11,7),1)+1 + TIME(2,0,0),
         DATE(YEAR(B166),10,31)-WEEKDAY(DATE(YEAR(B166),10,31),1) + TIME(2,0,0)
       )
 ),
 "UTC-4",
 "UTC-5"
)</f>
        <v>UTC-4</v>
      </c>
      <c r="E166" s="12">
        <v>1.7999999999999999E-2</v>
      </c>
    </row>
    <row r="167" spans="1:5" x14ac:dyDescent="0.3">
      <c r="A167" s="9">
        <v>41913</v>
      </c>
      <c r="B167" s="5">
        <v>41941</v>
      </c>
      <c r="C167" s="6">
        <v>0.54166666666666663</v>
      </c>
      <c r="D167" s="7" t="str">
        <f>IF(
 AND(
  B167 &gt;= IF(
         YEAR(B167)&gt;=2007,
         DATE(YEAR(B167),3,14)-WEEKDAY(DATE(YEAR(B167),3,14),1)+1 + TIME(2,0,0),
         DATE(YEAR(B167),4,7)-WEEKDAY(DATE(YEAR(B167),4,7),1)+1 + TIME(2,0,0)
       ),
  B167 &lt;  IF(
         YEAR(B167)&gt;=2007,
         DATE(YEAR(B167),11,7)-WEEKDAY(DATE(YEAR(B167),11,7),1)+1 + TIME(2,0,0),
         DATE(YEAR(B167),10,31)-WEEKDAY(DATE(YEAR(B167),10,31),1) + TIME(2,0,0)
       )
 ),
 "UTC-4",
 "UTC-5"
)</f>
        <v>UTC-4</v>
      </c>
      <c r="E167" s="12">
        <v>1.567E-2</v>
      </c>
    </row>
    <row r="168" spans="1:5" x14ac:dyDescent="0.3">
      <c r="A168" s="9">
        <v>41944</v>
      </c>
      <c r="B168" s="5">
        <v>41968</v>
      </c>
      <c r="C168" s="6">
        <v>0.54166666666666663</v>
      </c>
      <c r="D168" s="7" t="str">
        <f>IF(
 AND(
  B168 &gt;= IF(
         YEAR(B168)&gt;=2007,
         DATE(YEAR(B168),3,14)-WEEKDAY(DATE(YEAR(B168),3,14),1)+1 + TIME(2,0,0),
         DATE(YEAR(B168),4,7)-WEEKDAY(DATE(YEAR(B168),4,7),1)+1 + TIME(2,0,0)
       ),
  B168 &lt;  IF(
         YEAR(B168)&gt;=2007,
         DATE(YEAR(B168),11,7)-WEEKDAY(DATE(YEAR(B168),11,7),1)+1 + TIME(2,0,0),
         DATE(YEAR(B168),10,31)-WEEKDAY(DATE(YEAR(B168),10,31),1) + TIME(2,0,0)
       )
 ),
 "UTC-4",
 "UTC-5"
)</f>
        <v>UTC-5</v>
      </c>
      <c r="E168" s="12">
        <v>1.5949999999999999E-2</v>
      </c>
    </row>
    <row r="169" spans="1:5" x14ac:dyDescent="0.3">
      <c r="A169" s="9">
        <v>41974</v>
      </c>
      <c r="B169" s="5">
        <v>41996</v>
      </c>
      <c r="C169" s="6">
        <v>0.54166666666666663</v>
      </c>
      <c r="D169" s="7" t="str">
        <f>IF(
 AND(
  B169 &gt;= IF(
         YEAR(B169)&gt;=2007,
         DATE(YEAR(B169),3,14)-WEEKDAY(DATE(YEAR(B169),3,14),1)+1 + TIME(2,0,0),
         DATE(YEAR(B169),4,7)-WEEKDAY(DATE(YEAR(B169),4,7),1)+1 + TIME(2,0,0)
       ),
  B169 &lt;  IF(
         YEAR(B169)&gt;=2007,
         DATE(YEAR(B169),11,7)-WEEKDAY(DATE(YEAR(B169),11,7),1)+1 + TIME(2,0,0),
         DATE(YEAR(B169),10,31)-WEEKDAY(DATE(YEAR(B169),10,31),1) + TIME(2,0,0)
       )
 ),
 "UTC-4",
 "UTC-5"
)</f>
        <v>UTC-5</v>
      </c>
      <c r="E169" s="12">
        <v>1.7389999999999999E-2</v>
      </c>
    </row>
    <row r="170" spans="1:5" x14ac:dyDescent="0.3">
      <c r="A170" s="9">
        <v>42005</v>
      </c>
      <c r="B170" s="5">
        <v>42033</v>
      </c>
      <c r="C170" s="6">
        <v>0.54166666666666663</v>
      </c>
      <c r="D170" s="7" t="str">
        <f>IF(
 AND(
  B170 &gt;= IF(
         YEAR(B170)&gt;=2007,
         DATE(YEAR(B170),3,14)-WEEKDAY(DATE(YEAR(B170),3,14),1)+1 + TIME(2,0,0),
         DATE(YEAR(B170),4,7)-WEEKDAY(DATE(YEAR(B170),4,7),1)+1 + TIME(2,0,0)
       ),
  B170 &lt;  IF(
         YEAR(B170)&gt;=2007,
         DATE(YEAR(B170),11,7)-WEEKDAY(DATE(YEAR(B170),11,7),1)+1 + TIME(2,0,0),
         DATE(YEAR(B170),10,31)-WEEKDAY(DATE(YEAR(B170),10,31),1) + TIME(2,0,0)
       )
 ),
 "UTC-4",
 "UTC-5"
)</f>
        <v>UTC-5</v>
      </c>
      <c r="E170" s="12">
        <v>1.2880000000000001E-2</v>
      </c>
    </row>
    <row r="171" spans="1:5" x14ac:dyDescent="0.3">
      <c r="A171" s="9">
        <v>42036</v>
      </c>
      <c r="B171" s="5">
        <v>42060</v>
      </c>
      <c r="C171" s="6">
        <v>0.54166666666666663</v>
      </c>
      <c r="D171" s="7" t="str">
        <f>IF(
 AND(
  B171 &gt;= IF(
         YEAR(B171)&gt;=2007,
         DATE(YEAR(B171),3,14)-WEEKDAY(DATE(YEAR(B171),3,14),1)+1 + TIME(2,0,0),
         DATE(YEAR(B171),4,7)-WEEKDAY(DATE(YEAR(B171),4,7),1)+1 + TIME(2,0,0)
       ),
  B171 &lt;  IF(
         YEAR(B171)&gt;=2007,
         DATE(YEAR(B171),11,7)-WEEKDAY(DATE(YEAR(B171),11,7),1)+1 + TIME(2,0,0),
         DATE(YEAR(B171),10,31)-WEEKDAY(DATE(YEAR(B171),10,31),1) + TIME(2,0,0)
       )
 ),
 "UTC-4",
 "UTC-5"
)</f>
        <v>UTC-5</v>
      </c>
      <c r="E171" s="12">
        <v>1.4800000000000001E-2</v>
      </c>
    </row>
    <row r="172" spans="1:5" x14ac:dyDescent="0.3">
      <c r="A172" s="9">
        <v>42064</v>
      </c>
      <c r="B172" s="5">
        <v>42088</v>
      </c>
      <c r="C172" s="6">
        <v>0.54166666666666663</v>
      </c>
      <c r="D172" s="7" t="str">
        <f>IF(
 AND(
  B172 &gt;= IF(
         YEAR(B172)&gt;=2007,
         DATE(YEAR(B172),3,14)-WEEKDAY(DATE(YEAR(B172),3,14),1)+1 + TIME(2,0,0),
         DATE(YEAR(B172),4,7)-WEEKDAY(DATE(YEAR(B172),4,7),1)+1 + TIME(2,0,0)
       ),
  B172 &lt;  IF(
         YEAR(B172)&gt;=2007,
         DATE(YEAR(B172),11,7)-WEEKDAY(DATE(YEAR(B172),11,7),1)+1 + TIME(2,0,0),
         DATE(YEAR(B172),10,31)-WEEKDAY(DATE(YEAR(B172),10,31),1) + TIME(2,0,0)
       )
 ),
 "UTC-4",
 "UTC-5"
)</f>
        <v>UTC-4</v>
      </c>
      <c r="E172" s="12">
        <v>1.387E-2</v>
      </c>
    </row>
    <row r="173" spans="1:5" x14ac:dyDescent="0.3">
      <c r="A173" s="9">
        <v>42095</v>
      </c>
      <c r="B173" s="5">
        <v>42122</v>
      </c>
      <c r="C173" s="6">
        <v>0.54166666666666663</v>
      </c>
      <c r="D173" s="7" t="str">
        <f>IF(
 AND(
  B173 &gt;= IF(
         YEAR(B173)&gt;=2007,
         DATE(YEAR(B173),3,14)-WEEKDAY(DATE(YEAR(B173),3,14),1)+1 + TIME(2,0,0),
         DATE(YEAR(B173),4,7)-WEEKDAY(DATE(YEAR(B173),4,7),1)+1 + TIME(2,0,0)
       ),
  B173 &lt;  IF(
         YEAR(B173)&gt;=2007,
         DATE(YEAR(B173),11,7)-WEEKDAY(DATE(YEAR(B173),11,7),1)+1 + TIME(2,0,0),
         DATE(YEAR(B173),10,31)-WEEKDAY(DATE(YEAR(B173),10,31),1) + TIME(2,0,0)
       )
 ),
 "UTC-4",
 "UTC-5"
)</f>
        <v>UTC-4</v>
      </c>
      <c r="E173" s="12">
        <v>1.38E-2</v>
      </c>
    </row>
    <row r="174" spans="1:5" x14ac:dyDescent="0.3">
      <c r="A174" s="9">
        <v>42125</v>
      </c>
      <c r="B174" s="5">
        <v>42151</v>
      </c>
      <c r="C174" s="6">
        <v>0.54166666666666663</v>
      </c>
      <c r="D174" s="7" t="str">
        <f>IF(
 AND(
  B174 &gt;= IF(
         YEAR(B174)&gt;=2007,
         DATE(YEAR(B174),3,14)-WEEKDAY(DATE(YEAR(B174),3,14),1)+1 + TIME(2,0,0),
         DATE(YEAR(B174),4,7)-WEEKDAY(DATE(YEAR(B174),4,7),1)+1 + TIME(2,0,0)
       ),
  B174 &lt;  IF(
         YEAR(B174)&gt;=2007,
         DATE(YEAR(B174),11,7)-WEEKDAY(DATE(YEAR(B174),11,7),1)+1 + TIME(2,0,0),
         DATE(YEAR(B174),10,31)-WEEKDAY(DATE(YEAR(B174),10,31),1) + TIME(2,0,0)
       )
 ),
 "UTC-4",
 "UTC-5"
)</f>
        <v>UTC-4</v>
      </c>
      <c r="E174" s="12">
        <v>1.5599999999999999E-2</v>
      </c>
    </row>
    <row r="175" spans="1:5" x14ac:dyDescent="0.3">
      <c r="A175" s="9">
        <v>42156</v>
      </c>
      <c r="B175" s="5">
        <v>42179</v>
      </c>
      <c r="C175" s="6">
        <v>0.54166666666666663</v>
      </c>
      <c r="D175" s="7" t="str">
        <f>IF(
 AND(
  B175 &gt;= IF(
         YEAR(B175)&gt;=2007,
         DATE(YEAR(B175),3,14)-WEEKDAY(DATE(YEAR(B175),3,14),1)+1 + TIME(2,0,0),
         DATE(YEAR(B175),4,7)-WEEKDAY(DATE(YEAR(B175),4,7),1)+1 + TIME(2,0,0)
       ),
  B175 &lt;  IF(
         YEAR(B175)&gt;=2007,
         DATE(YEAR(B175),11,7)-WEEKDAY(DATE(YEAR(B175),11,7),1)+1 + TIME(2,0,0),
         DATE(YEAR(B175),10,31)-WEEKDAY(DATE(YEAR(B175),10,31),1) + TIME(2,0,0)
       )
 ),
 "UTC-4",
 "UTC-5"
)</f>
        <v>UTC-4</v>
      </c>
      <c r="E175" s="12">
        <v>1.7100000000000001E-2</v>
      </c>
    </row>
    <row r="176" spans="1:5" x14ac:dyDescent="0.3">
      <c r="A176" s="9">
        <v>42186</v>
      </c>
      <c r="B176" s="5">
        <v>42214</v>
      </c>
      <c r="C176" s="6">
        <v>0.54166666666666663</v>
      </c>
      <c r="D176" s="7" t="str">
        <f>IF(
 AND(
  B176 &gt;= IF(
         YEAR(B176)&gt;=2007,
         DATE(YEAR(B176),3,14)-WEEKDAY(DATE(YEAR(B176),3,14),1)+1 + TIME(2,0,0),
         DATE(YEAR(B176),4,7)-WEEKDAY(DATE(YEAR(B176),4,7),1)+1 + TIME(2,0,0)
       ),
  B176 &lt;  IF(
         YEAR(B176)&gt;=2007,
         DATE(YEAR(B176),11,7)-WEEKDAY(DATE(YEAR(B176),11,7),1)+1 + TIME(2,0,0),
         DATE(YEAR(B176),10,31)-WEEKDAY(DATE(YEAR(B176),10,31),1) + TIME(2,0,0)
       )
 ),
 "UTC-4",
 "UTC-5"
)</f>
        <v>UTC-4</v>
      </c>
      <c r="E176" s="12">
        <v>1.6250000000000001E-2</v>
      </c>
    </row>
    <row r="177" spans="1:5" x14ac:dyDescent="0.3">
      <c r="A177" s="9">
        <v>42217</v>
      </c>
      <c r="B177" s="5">
        <v>42242</v>
      </c>
      <c r="C177" s="6">
        <v>0.54166666666666663</v>
      </c>
      <c r="D177" s="7" t="str">
        <f>IF(
 AND(
  B177 &gt;= IF(
         YEAR(B177)&gt;=2007,
         DATE(YEAR(B177),3,14)-WEEKDAY(DATE(YEAR(B177),3,14),1)+1 + TIME(2,0,0),
         DATE(YEAR(B177),4,7)-WEEKDAY(DATE(YEAR(B177),4,7),1)+1 + TIME(2,0,0)
       ),
  B177 &lt;  IF(
         YEAR(B177)&gt;=2007,
         DATE(YEAR(B177),11,7)-WEEKDAY(DATE(YEAR(B177),11,7),1)+1 + TIME(2,0,0),
         DATE(YEAR(B177),10,31)-WEEKDAY(DATE(YEAR(B177),10,31),1) + TIME(2,0,0)
       )
 ),
 "UTC-4",
 "UTC-5"
)</f>
        <v>UTC-4</v>
      </c>
      <c r="E177" s="12">
        <v>1.4630000000000001E-2</v>
      </c>
    </row>
    <row r="178" spans="1:5" x14ac:dyDescent="0.3">
      <c r="A178" s="9">
        <v>42248</v>
      </c>
      <c r="B178" s="5">
        <v>42270</v>
      </c>
      <c r="C178" s="6">
        <v>0.54166666666666663</v>
      </c>
      <c r="D178" s="7" t="str">
        <f>IF(
 AND(
  B178 &gt;= IF(
         YEAR(B178)&gt;=2007,
         DATE(YEAR(B178),3,14)-WEEKDAY(DATE(YEAR(B178),3,14),1)+1 + TIME(2,0,0),
         DATE(YEAR(B178),4,7)-WEEKDAY(DATE(YEAR(B178),4,7),1)+1 + TIME(2,0,0)
       ),
  B178 &lt;  IF(
         YEAR(B178)&gt;=2007,
         DATE(YEAR(B178),11,7)-WEEKDAY(DATE(YEAR(B178),11,7),1)+1 + TIME(2,0,0),
         DATE(YEAR(B178),10,31)-WEEKDAY(DATE(YEAR(B178),10,31),1) + TIME(2,0,0)
       )
 ),
 "UTC-4",
 "UTC-5"
)</f>
        <v>UTC-4</v>
      </c>
      <c r="E178" s="12">
        <v>1.4670000000000001E-2</v>
      </c>
    </row>
    <row r="179" spans="1:5" x14ac:dyDescent="0.3">
      <c r="A179" s="9">
        <v>42278</v>
      </c>
      <c r="B179" s="5">
        <v>42305</v>
      </c>
      <c r="C179" s="6">
        <v>0.54166666666666663</v>
      </c>
      <c r="D179" s="7" t="str">
        <f>IF(
 AND(
  B179 &gt;= IF(
         YEAR(B179)&gt;=2007,
         DATE(YEAR(B179),3,14)-WEEKDAY(DATE(YEAR(B179),3,14),1)+1 + TIME(2,0,0),
         DATE(YEAR(B179),4,7)-WEEKDAY(DATE(YEAR(B179),4,7),1)+1 + TIME(2,0,0)
       ),
  B179 &lt;  IF(
         YEAR(B179)&gt;=2007,
         DATE(YEAR(B179),11,7)-WEEKDAY(DATE(YEAR(B179),11,7),1)+1 + TIME(2,0,0),
         DATE(YEAR(B179),10,31)-WEEKDAY(DATE(YEAR(B179),10,31),1) + TIME(2,0,0)
       )
 ),
 "UTC-4",
 "UTC-5"
)</f>
        <v>UTC-4</v>
      </c>
      <c r="E179" s="12">
        <v>1.4149999999999999E-2</v>
      </c>
    </row>
    <row r="180" spans="1:5" x14ac:dyDescent="0.3">
      <c r="A180" s="9">
        <v>42309</v>
      </c>
      <c r="B180" s="5">
        <v>42332</v>
      </c>
      <c r="C180" s="6">
        <v>0.54166666666666663</v>
      </c>
      <c r="D180" s="7" t="str">
        <f>IF(
 AND(
  B180 &gt;= IF(
         YEAR(B180)&gt;=2007,
         DATE(YEAR(B180),3,14)-WEEKDAY(DATE(YEAR(B180),3,14),1)+1 + TIME(2,0,0),
         DATE(YEAR(B180),4,7)-WEEKDAY(DATE(YEAR(B180),4,7),1)+1 + TIME(2,0,0)
       ),
  B180 &lt;  IF(
         YEAR(B180)&gt;=2007,
         DATE(YEAR(B180),11,7)-WEEKDAY(DATE(YEAR(B180),11,7),1)+1 + TIME(2,0,0),
         DATE(YEAR(B180),10,31)-WEEKDAY(DATE(YEAR(B180),10,31),1) + TIME(2,0,0)
       )
 ),
 "UTC-4",
 "UTC-5"
)</f>
        <v>UTC-5</v>
      </c>
      <c r="E180" s="12">
        <v>1.67E-2</v>
      </c>
    </row>
    <row r="181" spans="1:5" x14ac:dyDescent="0.3">
      <c r="A181" s="9">
        <v>42339</v>
      </c>
      <c r="B181" s="5">
        <v>42367</v>
      </c>
      <c r="C181" s="6">
        <v>0.54166666666666663</v>
      </c>
      <c r="D181" s="7" t="str">
        <f>IF(
 AND(
  B181 &gt;= IF(
         YEAR(B181)&gt;=2007,
         DATE(YEAR(B181),3,14)-WEEKDAY(DATE(YEAR(B181),3,14),1)+1 + TIME(2,0,0),
         DATE(YEAR(B181),4,7)-WEEKDAY(DATE(YEAR(B181),4,7),1)+1 + TIME(2,0,0)
       ),
  B181 &lt;  IF(
         YEAR(B181)&gt;=2007,
         DATE(YEAR(B181),11,7)-WEEKDAY(DATE(YEAR(B181),11,7),1)+1 + TIME(2,0,0),
         DATE(YEAR(B181),10,31)-WEEKDAY(DATE(YEAR(B181),10,31),1) + TIME(2,0,0)
       )
 ),
 "UTC-4",
 "UTC-5"
)</f>
        <v>UTC-5</v>
      </c>
      <c r="E181" s="12">
        <v>1.7850000000000001E-2</v>
      </c>
    </row>
    <row r="182" spans="1:5" x14ac:dyDescent="0.3">
      <c r="A182" s="9">
        <v>42370</v>
      </c>
      <c r="B182" s="5">
        <v>42396</v>
      </c>
      <c r="C182" s="6">
        <v>0.54166666666666663</v>
      </c>
      <c r="D182" s="7" t="str">
        <f>IF(
 AND(
  B182 &gt;= IF(
         YEAR(B182)&gt;=2007,
         DATE(YEAR(B182),3,14)-WEEKDAY(DATE(YEAR(B182),3,14),1)+1 + TIME(2,0,0),
         DATE(YEAR(B182),4,7)-WEEKDAY(DATE(YEAR(B182),4,7),1)+1 + TIME(2,0,0)
       ),
  B182 &lt;  IF(
         YEAR(B182)&gt;=2007,
         DATE(YEAR(B182),11,7)-WEEKDAY(DATE(YEAR(B182),11,7),1)+1 + TIME(2,0,0),
         DATE(YEAR(B182),10,31)-WEEKDAY(DATE(YEAR(B182),10,31),1) + TIME(2,0,0)
       )
 ),
 "UTC-4",
 "UTC-5"
)</f>
        <v>UTC-5</v>
      </c>
      <c r="E182" s="12">
        <v>1.4959999999999999E-2</v>
      </c>
    </row>
    <row r="183" spans="1:5" x14ac:dyDescent="0.3">
      <c r="A183" s="9">
        <v>42401</v>
      </c>
      <c r="B183" s="5">
        <v>42424</v>
      </c>
      <c r="C183" s="6">
        <v>0.54166666666666663</v>
      </c>
      <c r="D183" s="7" t="str">
        <f>IF(
 AND(
  B183 &gt;= IF(
         YEAR(B183)&gt;=2007,
         DATE(YEAR(B183),3,14)-WEEKDAY(DATE(YEAR(B183),3,14),1)+1 + TIME(2,0,0),
         DATE(YEAR(B183),4,7)-WEEKDAY(DATE(YEAR(B183),4,7),1)+1 + TIME(2,0,0)
       ),
  B183 &lt;  IF(
         YEAR(B183)&gt;=2007,
         DATE(YEAR(B183),11,7)-WEEKDAY(DATE(YEAR(B183),11,7),1)+1 + TIME(2,0,0),
         DATE(YEAR(B183),10,31)-WEEKDAY(DATE(YEAR(B183),10,31),1) + TIME(2,0,0)
       )
 ),
 "UTC-4",
 "UTC-5"
)</f>
        <v>UTC-5</v>
      </c>
      <c r="E183" s="12">
        <v>1.1690000000000001E-2</v>
      </c>
    </row>
    <row r="184" spans="1:5" x14ac:dyDescent="0.3">
      <c r="A184" s="9">
        <v>42430</v>
      </c>
      <c r="B184" s="5">
        <v>42458</v>
      </c>
      <c r="C184" s="6">
        <v>0.54166666666666663</v>
      </c>
      <c r="D184" s="7" t="str">
        <f>IF(
 AND(
  B184 &gt;= IF(
         YEAR(B184)&gt;=2007,
         DATE(YEAR(B184),3,14)-WEEKDAY(DATE(YEAR(B184),3,14),1)+1 + TIME(2,0,0),
         DATE(YEAR(B184),4,7)-WEEKDAY(DATE(YEAR(B184),4,7),1)+1 + TIME(2,0,0)
       ),
  B184 &lt;  IF(
         YEAR(B184)&gt;=2007,
         DATE(YEAR(B184),11,7)-WEEKDAY(DATE(YEAR(B184),11,7),1)+1 + TIME(2,0,0),
         DATE(YEAR(B184),10,31)-WEEKDAY(DATE(YEAR(B184),10,31),1) + TIME(2,0,0)
       )
 ),
 "UTC-4",
 "UTC-5"
)</f>
        <v>UTC-4</v>
      </c>
      <c r="E184" s="12">
        <v>1.3350000000000001E-2</v>
      </c>
    </row>
    <row r="185" spans="1:5" x14ac:dyDescent="0.3">
      <c r="A185" s="9">
        <v>42461</v>
      </c>
      <c r="B185" s="5">
        <v>42486</v>
      </c>
      <c r="C185" s="6">
        <v>0.54166666666666663</v>
      </c>
      <c r="D185" s="7" t="str">
        <f>IF(
 AND(
  B185 &gt;= IF(
         YEAR(B185)&gt;=2007,
         DATE(YEAR(B185),3,14)-WEEKDAY(DATE(YEAR(B185),3,14),1)+1 + TIME(2,0,0),
         DATE(YEAR(B185),4,7)-WEEKDAY(DATE(YEAR(B185),4,7),1)+1 + TIME(2,0,0)
       ),
  B185 &lt;  IF(
         YEAR(B185)&gt;=2007,
         DATE(YEAR(B185),11,7)-WEEKDAY(DATE(YEAR(B185),11,7),1)+1 + TIME(2,0,0),
         DATE(YEAR(B185),10,31)-WEEKDAY(DATE(YEAR(B185),10,31),1) + TIME(2,0,0)
       )
 ),
 "UTC-4",
 "UTC-5"
)</f>
        <v>UTC-4</v>
      </c>
      <c r="E185" s="12">
        <v>1.41E-2</v>
      </c>
    </row>
    <row r="186" spans="1:5" x14ac:dyDescent="0.3">
      <c r="A186" s="9">
        <v>42491</v>
      </c>
      <c r="B186" s="5">
        <v>42515</v>
      </c>
      <c r="C186" s="6">
        <v>0.54166666666666663</v>
      </c>
      <c r="D186" s="7" t="str">
        <f>IF(
 AND(
  B186 &gt;= IF(
         YEAR(B186)&gt;=2007,
         DATE(YEAR(B186),3,14)-WEEKDAY(DATE(YEAR(B186),3,14),1)+1 + TIME(2,0,0),
         DATE(YEAR(B186),4,7)-WEEKDAY(DATE(YEAR(B186),4,7),1)+1 + TIME(2,0,0)
       ),
  B186 &lt;  IF(
         YEAR(B186)&gt;=2007,
         DATE(YEAR(B186),11,7)-WEEKDAY(DATE(YEAR(B186),11,7),1)+1 + TIME(2,0,0),
         DATE(YEAR(B186),10,31)-WEEKDAY(DATE(YEAR(B186),10,31),1) + TIME(2,0,0)
       )
 ),
 "UTC-4",
 "UTC-5"
)</f>
        <v>UTC-4</v>
      </c>
      <c r="E186" s="12">
        <v>1.3950000000000001E-2</v>
      </c>
    </row>
    <row r="187" spans="1:5" x14ac:dyDescent="0.3">
      <c r="A187" s="9">
        <v>42522</v>
      </c>
      <c r="B187" s="5">
        <v>42542</v>
      </c>
      <c r="C187" s="6">
        <v>0.54166666666666663</v>
      </c>
      <c r="D187" s="7" t="str">
        <f>IF(
 AND(
  B187 &gt;= IF(
         YEAR(B187)&gt;=2007,
         DATE(YEAR(B187),3,14)-WEEKDAY(DATE(YEAR(B187),3,14),1)+1 + TIME(2,0,0),
         DATE(YEAR(B187),4,7)-WEEKDAY(DATE(YEAR(B187),4,7),1)+1 + TIME(2,0,0)
       ),
  B187 &lt;  IF(
         YEAR(B187)&gt;=2007,
         DATE(YEAR(B187),11,7)-WEEKDAY(DATE(YEAR(B187),11,7),1)+1 + TIME(2,0,0),
         DATE(YEAR(B187),10,31)-WEEKDAY(DATE(YEAR(B187),10,31),1) + TIME(2,0,0)
       )
 ),
 "UTC-4",
 "UTC-5"
)</f>
        <v>UTC-4</v>
      </c>
      <c r="E187" s="12">
        <v>1.218E-2</v>
      </c>
    </row>
    <row r="188" spans="1:5" x14ac:dyDescent="0.3">
      <c r="A188" s="9">
        <v>42552</v>
      </c>
      <c r="B188" s="5">
        <v>42577</v>
      </c>
      <c r="C188" s="6">
        <v>0.54166666666666663</v>
      </c>
      <c r="D188" s="7" t="str">
        <f>IF(
 AND(
  B188 &gt;= IF(
         YEAR(B188)&gt;=2007,
         DATE(YEAR(B188),3,14)-WEEKDAY(DATE(YEAR(B188),3,14),1)+1 + TIME(2,0,0),
         DATE(YEAR(B188),4,7)-WEEKDAY(DATE(YEAR(B188),4,7),1)+1 + TIME(2,0,0)
       ),
  B188 &lt;  IF(
         YEAR(B188)&gt;=2007,
         DATE(YEAR(B188),11,7)-WEEKDAY(DATE(YEAR(B188),11,7),1)+1 + TIME(2,0,0),
         DATE(YEAR(B188),10,31)-WEEKDAY(DATE(YEAR(B188),10,31),1) + TIME(2,0,0)
       )
 ),
 "UTC-4",
 "UTC-5"
)</f>
        <v>UTC-4</v>
      </c>
      <c r="E188" s="12">
        <v>1.18E-2</v>
      </c>
    </row>
    <row r="189" spans="1:5" x14ac:dyDescent="0.3">
      <c r="A189" s="9">
        <v>42583</v>
      </c>
      <c r="B189" s="5">
        <v>42606</v>
      </c>
      <c r="C189" s="6">
        <v>0.54166666666666663</v>
      </c>
      <c r="D189" s="7" t="str">
        <f>IF(
 AND(
  B189 &gt;= IF(
         YEAR(B189)&gt;=2007,
         DATE(YEAR(B189),3,14)-WEEKDAY(DATE(YEAR(B189),3,14),1)+1 + TIME(2,0,0),
         DATE(YEAR(B189),4,7)-WEEKDAY(DATE(YEAR(B189),4,7),1)+1 + TIME(2,0,0)
       ),
  B189 &lt;  IF(
         YEAR(B189)&gt;=2007,
         DATE(YEAR(B189),11,7)-WEEKDAY(DATE(YEAR(B189),11,7),1)+1 + TIME(2,0,0),
         DATE(YEAR(B189),10,31)-WEEKDAY(DATE(YEAR(B189),10,31),1) + TIME(2,0,0)
       )
 ),
 "UTC-4",
 "UTC-5"
)</f>
        <v>UTC-4</v>
      </c>
      <c r="E189" s="12">
        <v>1.125E-2</v>
      </c>
    </row>
    <row r="190" spans="1:5" x14ac:dyDescent="0.3">
      <c r="A190" s="9">
        <v>42614</v>
      </c>
      <c r="B190" s="5">
        <v>42640</v>
      </c>
      <c r="C190" s="6">
        <v>0.54166666666666663</v>
      </c>
      <c r="D190" s="7" t="str">
        <f>IF(
 AND(
  B190 &gt;= IF(
         YEAR(B190)&gt;=2007,
         DATE(YEAR(B190),3,14)-WEEKDAY(DATE(YEAR(B190),3,14),1)+1 + TIME(2,0,0),
         DATE(YEAR(B190),4,7)-WEEKDAY(DATE(YEAR(B190),4,7),1)+1 + TIME(2,0,0)
       ),
  B190 &lt;  IF(
         YEAR(B190)&gt;=2007,
         DATE(YEAR(B190),11,7)-WEEKDAY(DATE(YEAR(B190),11,7),1)+1 + TIME(2,0,0),
         DATE(YEAR(B190),10,31)-WEEKDAY(DATE(YEAR(B190),10,31),1) + TIME(2,0,0)
       )
 ),
 "UTC-4",
 "UTC-5"
)</f>
        <v>UTC-4</v>
      </c>
      <c r="E190" s="12">
        <v>1.129E-2</v>
      </c>
    </row>
    <row r="191" spans="1:5" x14ac:dyDescent="0.3">
      <c r="A191" s="9">
        <v>42644</v>
      </c>
      <c r="B191" s="5">
        <v>42669</v>
      </c>
      <c r="C191" s="6">
        <v>0.54166666666666663</v>
      </c>
      <c r="D191" s="7" t="str">
        <f>IF(
 AND(
  B191 &gt;= IF(
         YEAR(B191)&gt;=2007,
         DATE(YEAR(B191),3,14)-WEEKDAY(DATE(YEAR(B191),3,14),1)+1 + TIME(2,0,0),
         DATE(YEAR(B191),4,7)-WEEKDAY(DATE(YEAR(B191),4,7),1)+1 + TIME(2,0,0)
       ),
  B191 &lt;  IF(
         YEAR(B191)&gt;=2007,
         DATE(YEAR(B191),11,7)-WEEKDAY(DATE(YEAR(B191),11,7),1)+1 + TIME(2,0,0),
         DATE(YEAR(B191),10,31)-WEEKDAY(DATE(YEAR(B191),10,31),1) + TIME(2,0,0)
       )
 ),
 "UTC-4",
 "UTC-5"
)</f>
        <v>UTC-4</v>
      </c>
      <c r="E191" s="12">
        <v>1.303E-2</v>
      </c>
    </row>
    <row r="192" spans="1:5" x14ac:dyDescent="0.3">
      <c r="A192" s="9">
        <v>42675</v>
      </c>
      <c r="B192" s="5">
        <v>42696</v>
      </c>
      <c r="C192" s="6">
        <v>0.54166666666666663</v>
      </c>
      <c r="D192" s="7" t="str">
        <f>IF(
 AND(
  B192 &gt;= IF(
         YEAR(B192)&gt;=2007,
         DATE(YEAR(B192),3,14)-WEEKDAY(DATE(YEAR(B192),3,14),1)+1 + TIME(2,0,0),
         DATE(YEAR(B192),4,7)-WEEKDAY(DATE(YEAR(B192),4,7),1)+1 + TIME(2,0,0)
       ),
  B192 &lt;  IF(
         YEAR(B192)&gt;=2007,
         DATE(YEAR(B192),11,7)-WEEKDAY(DATE(YEAR(B192),11,7),1)+1 + TIME(2,0,0),
         DATE(YEAR(B192),10,31)-WEEKDAY(DATE(YEAR(B192),10,31),1) + TIME(2,0,0)
       )
 ),
 "UTC-4",
 "UTC-5"
)</f>
        <v>UTC-5</v>
      </c>
      <c r="E192" s="12">
        <v>1.7600000000000001E-2</v>
      </c>
    </row>
    <row r="193" spans="1:5" x14ac:dyDescent="0.3">
      <c r="A193" s="9">
        <v>42705</v>
      </c>
      <c r="B193" s="5">
        <v>42732</v>
      </c>
      <c r="C193" s="6">
        <v>0.54166666666666663</v>
      </c>
      <c r="D193" s="7" t="str">
        <f>IF(
 AND(
  B193 &gt;= IF(
         YEAR(B193)&gt;=2007,
         DATE(YEAR(B193),3,14)-WEEKDAY(DATE(YEAR(B193),3,14),1)+1 + TIME(2,0,0),
         DATE(YEAR(B193),4,7)-WEEKDAY(DATE(YEAR(B193),4,7),1)+1 + TIME(2,0,0)
       ),
  B193 &lt;  IF(
         YEAR(B193)&gt;=2007,
         DATE(YEAR(B193),11,7)-WEEKDAY(DATE(YEAR(B193),11,7),1)+1 + TIME(2,0,0),
         DATE(YEAR(B193),10,31)-WEEKDAY(DATE(YEAR(B193),10,31),1) + TIME(2,0,0)
       )
 ),
 "UTC-4",
 "UTC-5"
)</f>
        <v>UTC-5</v>
      </c>
      <c r="E193" s="12">
        <v>2.0570000000000001E-2</v>
      </c>
    </row>
    <row r="194" spans="1:5" x14ac:dyDescent="0.3">
      <c r="A194" s="9">
        <v>42736</v>
      </c>
      <c r="B194" s="5">
        <v>42760</v>
      </c>
      <c r="C194" s="6">
        <v>0.54166666666666663</v>
      </c>
      <c r="D194" s="7" t="str">
        <f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2">
        <v>1.9879999999999998E-2</v>
      </c>
    </row>
    <row r="195" spans="1:5" x14ac:dyDescent="0.3">
      <c r="A195" s="9">
        <v>42767</v>
      </c>
      <c r="B195" s="5">
        <v>42788</v>
      </c>
      <c r="C195" s="6">
        <v>0.54166666666666663</v>
      </c>
      <c r="D195" s="7" t="str">
        <f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2">
        <v>1.9369999999999998E-2</v>
      </c>
    </row>
    <row r="196" spans="1:5" x14ac:dyDescent="0.3">
      <c r="A196" s="9">
        <v>42795</v>
      </c>
      <c r="B196" s="5">
        <v>42822</v>
      </c>
      <c r="C196" s="6">
        <v>0.54166666666666663</v>
      </c>
      <c r="D196" s="7" t="str">
        <f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UTC-4</v>
      </c>
      <c r="E196" s="12">
        <v>1.95E-2</v>
      </c>
    </row>
    <row r="197" spans="1:5" x14ac:dyDescent="0.3">
      <c r="A197" s="9">
        <v>42826</v>
      </c>
      <c r="B197" s="5">
        <v>42851</v>
      </c>
      <c r="C197" s="6">
        <v>0.54166666666666663</v>
      </c>
      <c r="D197" s="7" t="str">
        <f>IF(
 AND(
  B197 &gt;= IF(
         YEAR(B197)&gt;=2007,
         DATE(YEAR(B197),3,14)-WEEKDAY(DATE(YEAR(B197),3,14),1)+1 + TIME(2,0,0),
         DATE(YEAR(B197),4,7)-WEEKDAY(DATE(YEAR(B197),4,7),1)+1 + TIME(2,0,0)
       ),
  B197 &lt;  IF(
         YEAR(B197)&gt;=2007,
         DATE(YEAR(B197),11,7)-WEEKDAY(DATE(YEAR(B197),11,7),1)+1 + TIME(2,0,0),
         DATE(YEAR(B197),10,31)-WEEKDAY(DATE(YEAR(B197),10,31),1) + TIME(2,0,0)
       )
 ),
 "UTC-4",
 "UTC-5"
)</f>
        <v>UTC-4</v>
      </c>
      <c r="E197" s="12">
        <v>1.8749999999999999E-2</v>
      </c>
    </row>
    <row r="198" spans="1:5" x14ac:dyDescent="0.3">
      <c r="A198" s="9">
        <v>42856</v>
      </c>
      <c r="B198" s="5">
        <v>42879</v>
      </c>
      <c r="C198" s="6">
        <v>0.54166666666666663</v>
      </c>
      <c r="D198" s="7" t="str">
        <f>IF(
 AND(
  B198 &gt;= IF(
         YEAR(B198)&gt;=2007,
         DATE(YEAR(B198),3,14)-WEEKDAY(DATE(YEAR(B198),3,14),1)+1 + TIME(2,0,0),
         DATE(YEAR(B198),4,7)-WEEKDAY(DATE(YEAR(B198),4,7),1)+1 + TIME(2,0,0)
       ),
  B198 &lt;  IF(
         YEAR(B198)&gt;=2007,
         DATE(YEAR(B198),11,7)-WEEKDAY(DATE(YEAR(B198),11,7),1)+1 + TIME(2,0,0),
         DATE(YEAR(B198),10,31)-WEEKDAY(DATE(YEAR(B198),10,31),1) + TIME(2,0,0)
       )
 ),
 "UTC-4",
 "UTC-5"
)</f>
        <v>UTC-4</v>
      </c>
      <c r="E198" s="12">
        <v>1.831E-2</v>
      </c>
    </row>
    <row r="199" spans="1:5" x14ac:dyDescent="0.3">
      <c r="A199" s="9">
        <v>42887</v>
      </c>
      <c r="B199" s="5">
        <v>42913</v>
      </c>
      <c r="C199" s="6">
        <v>0.54166666666666663</v>
      </c>
      <c r="D199" s="7" t="str">
        <f>IF(
 AND(
  B199 &gt;= IF(
         YEAR(B199)&gt;=2007,
         DATE(YEAR(B199),3,14)-WEEKDAY(DATE(YEAR(B199),3,14),1)+1 + TIME(2,0,0),
         DATE(YEAR(B199),4,7)-WEEKDAY(DATE(YEAR(B199),4,7),1)+1 + TIME(2,0,0)
       ),
  B199 &lt;  IF(
         YEAR(B199)&gt;=2007,
         DATE(YEAR(B199),11,7)-WEEKDAY(DATE(YEAR(B199),11,7),1)+1 + TIME(2,0,0),
         DATE(YEAR(B199),10,31)-WEEKDAY(DATE(YEAR(B199),10,31),1) + TIME(2,0,0)
       )
 ),
 "UTC-4",
 "UTC-5"
)</f>
        <v>UTC-4</v>
      </c>
      <c r="E199" s="12">
        <v>1.8280000000000001E-2</v>
      </c>
    </row>
    <row r="200" spans="1:5" x14ac:dyDescent="0.3">
      <c r="A200" s="9">
        <v>42917</v>
      </c>
      <c r="B200" s="5">
        <v>42942</v>
      </c>
      <c r="C200" s="6">
        <v>0.54166666666666663</v>
      </c>
      <c r="D200" s="7" t="str">
        <f>IF(
 AND(
  B200 &gt;= IF(
         YEAR(B200)&gt;=2007,
         DATE(YEAR(B200),3,14)-WEEKDAY(DATE(YEAR(B200),3,14),1)+1 + TIME(2,0,0),
         DATE(YEAR(B200),4,7)-WEEKDAY(DATE(YEAR(B200),4,7),1)+1 + TIME(2,0,0)
       ),
  B200 &lt;  IF(
         YEAR(B200)&gt;=2007,
         DATE(YEAR(B200),11,7)-WEEKDAY(DATE(YEAR(B200),11,7),1)+1 + TIME(2,0,0),
         DATE(YEAR(B200),10,31)-WEEKDAY(DATE(YEAR(B200),10,31),1) + TIME(2,0,0)
       )
 ),
 "UTC-4",
 "UTC-5"
)</f>
        <v>UTC-4</v>
      </c>
      <c r="E200" s="12">
        <v>1.8839999999999999E-2</v>
      </c>
    </row>
    <row r="201" spans="1:5" x14ac:dyDescent="0.3">
      <c r="A201" s="9">
        <v>42948</v>
      </c>
      <c r="B201" s="5">
        <v>42975</v>
      </c>
      <c r="C201" s="6">
        <v>0.54166666666666663</v>
      </c>
      <c r="D201" s="7" t="str">
        <f>IF(
 AND(
  B201 &gt;= IF(
         YEAR(B201)&gt;=2007,
         DATE(YEAR(B201),3,14)-WEEKDAY(DATE(YEAR(B201),3,14),1)+1 + TIME(2,0,0),
         DATE(YEAR(B201),4,7)-WEEKDAY(DATE(YEAR(B201),4,7),1)+1 + TIME(2,0,0)
       ),
  B201 &lt;  IF(
         YEAR(B201)&gt;=2007,
         DATE(YEAR(B201),11,7)-WEEKDAY(DATE(YEAR(B201),11,7),1)+1 + TIME(2,0,0),
         DATE(YEAR(B201),10,31)-WEEKDAY(DATE(YEAR(B201),10,31),1) + TIME(2,0,0)
       )
 ),
 "UTC-4",
 "UTC-5"
)</f>
        <v>UTC-4</v>
      </c>
      <c r="E201" s="12">
        <v>1.7420000000000001E-2</v>
      </c>
    </row>
    <row r="202" spans="1:5" x14ac:dyDescent="0.3">
      <c r="A202" s="9">
        <v>42979</v>
      </c>
      <c r="B202" s="5">
        <v>43005</v>
      </c>
      <c r="C202" s="6">
        <v>0.54166666666666663</v>
      </c>
      <c r="D202" s="7" t="str">
        <f>IF(
 AND(
  B202 &gt;= IF(
         YEAR(B202)&gt;=2007,
         DATE(YEAR(B202),3,14)-WEEKDAY(DATE(YEAR(B202),3,14),1)+1 + TIME(2,0,0),
         DATE(YEAR(B202),4,7)-WEEKDAY(DATE(YEAR(B202),4,7),1)+1 + TIME(2,0,0)
       ),
  B202 &lt;  IF(
         YEAR(B202)&gt;=2007,
         DATE(YEAR(B202),11,7)-WEEKDAY(DATE(YEAR(B202),11,7),1)+1 + TIME(2,0,0),
         DATE(YEAR(B202),10,31)-WEEKDAY(DATE(YEAR(B202),10,31),1) + TIME(2,0,0)
       )
 ),
 "UTC-4",
 "UTC-5"
)</f>
        <v>UTC-4</v>
      </c>
      <c r="E202" s="12">
        <v>1.9109999999999999E-2</v>
      </c>
    </row>
    <row r="203" spans="1:5" x14ac:dyDescent="0.3">
      <c r="A203" s="9">
        <v>43009</v>
      </c>
      <c r="B203" s="5">
        <v>43033</v>
      </c>
      <c r="C203" s="6">
        <v>0.54166666666666663</v>
      </c>
      <c r="D203" s="7" t="str">
        <f>IF(
 AND(
  B203 &gt;= IF(
         YEAR(B203)&gt;=2007,
         DATE(YEAR(B203),3,14)-WEEKDAY(DATE(YEAR(B203),3,14),1)+1 + TIME(2,0,0),
         DATE(YEAR(B203),4,7)-WEEKDAY(DATE(YEAR(B203),4,7),1)+1 + TIME(2,0,0)
       ),
  B203 &lt;  IF(
         YEAR(B203)&gt;=2007,
         DATE(YEAR(B203),11,7)-WEEKDAY(DATE(YEAR(B203),11,7),1)+1 + TIME(2,0,0),
         DATE(YEAR(B203),10,31)-WEEKDAY(DATE(YEAR(B203),10,31),1) + TIME(2,0,0)
       )
 ),
 "UTC-4",
 "UTC-5"
)</f>
        <v>UTC-4</v>
      </c>
      <c r="E203" s="12">
        <v>2.0580000000000001E-2</v>
      </c>
    </row>
    <row r="204" spans="1:5" x14ac:dyDescent="0.3">
      <c r="A204" s="9">
        <v>43040</v>
      </c>
      <c r="B204" s="5">
        <v>43066</v>
      </c>
      <c r="C204" s="6">
        <v>0.54166666666666663</v>
      </c>
      <c r="D204" s="7" t="str">
        <f>IF(
 AND(
  B204 &gt;= IF(
         YEAR(B204)&gt;=2007,
         DATE(YEAR(B204),3,14)-WEEKDAY(DATE(YEAR(B204),3,14),1)+1 + TIME(2,0,0),
         DATE(YEAR(B204),4,7)-WEEKDAY(DATE(YEAR(B204),4,7),1)+1 + TIME(2,0,0)
       ),
  B204 &lt;  IF(
         YEAR(B204)&gt;=2007,
         DATE(YEAR(B204),11,7)-WEEKDAY(DATE(YEAR(B204),11,7),1)+1 + TIME(2,0,0),
         DATE(YEAR(B204),10,31)-WEEKDAY(DATE(YEAR(B204),10,31),1) + TIME(2,0,0)
       )
 ),
 "UTC-4",
 "UTC-5"
)</f>
        <v>UTC-5</v>
      </c>
      <c r="E204" s="12">
        <v>2.0660000000000001E-2</v>
      </c>
    </row>
    <row r="205" spans="1:5" x14ac:dyDescent="0.3">
      <c r="A205" s="9">
        <v>43070</v>
      </c>
      <c r="B205" s="5">
        <v>43096</v>
      </c>
      <c r="C205" s="6">
        <v>0.54166666666666663</v>
      </c>
      <c r="D205" s="7" t="str">
        <f>IF(
 AND(
  B205 &gt;= IF(
         YEAR(B205)&gt;=2007,
         DATE(YEAR(B205),3,14)-WEEKDAY(DATE(YEAR(B205),3,14),1)+1 + TIME(2,0,0),
         DATE(YEAR(B205),4,7)-WEEKDAY(DATE(YEAR(B205),4,7),1)+1 + TIME(2,0,0)
       ),
  B205 &lt;  IF(
         YEAR(B205)&gt;=2007,
         DATE(YEAR(B205),11,7)-WEEKDAY(DATE(YEAR(B205),11,7),1)+1 + TIME(2,0,0),
         DATE(YEAR(B205),10,31)-WEEKDAY(DATE(YEAR(B205),10,31),1) + TIME(2,0,0)
       )
 ),
 "UTC-4",
 "UTC-5"
)</f>
        <v>UTC-5</v>
      </c>
      <c r="E205" s="12">
        <v>2.2450000000000001E-2</v>
      </c>
    </row>
    <row r="206" spans="1:5" x14ac:dyDescent="0.3">
      <c r="A206" s="9">
        <v>43101</v>
      </c>
      <c r="B206" s="5">
        <v>43124</v>
      </c>
      <c r="C206" s="6">
        <v>0.54166666666666663</v>
      </c>
      <c r="D206" s="7" t="str">
        <f>IF(
 AND(
  B206 &gt;= IF(
         YEAR(B206)&gt;=2007,
         DATE(YEAR(B206),3,14)-WEEKDAY(DATE(YEAR(B206),3,14),1)+1 + TIME(2,0,0),
         DATE(YEAR(B206),4,7)-WEEKDAY(DATE(YEAR(B206),4,7),1)+1 + TIME(2,0,0)
       ),
  B206 &lt;  IF(
         YEAR(B206)&gt;=2007,
         DATE(YEAR(B206),11,7)-WEEKDAY(DATE(YEAR(B206),11,7),1)+1 + TIME(2,0,0),
         DATE(YEAR(B206),10,31)-WEEKDAY(DATE(YEAR(B206),10,31),1) + TIME(2,0,0)
       )
 ),
 "UTC-4",
 "UTC-5"
)</f>
        <v>UTC-5</v>
      </c>
      <c r="E206" s="12">
        <v>2.4340000000000001E-2</v>
      </c>
    </row>
    <row r="207" spans="1:5" x14ac:dyDescent="0.3">
      <c r="A207" s="9">
        <v>43132</v>
      </c>
      <c r="B207" s="5">
        <v>43152</v>
      </c>
      <c r="C207" s="6">
        <v>0.54166666666666663</v>
      </c>
      <c r="D207" s="7" t="str">
        <f>IF(
 AND(
  B207 &gt;= IF(
         YEAR(B207)&gt;=2007,
         DATE(YEAR(B207),3,14)-WEEKDAY(DATE(YEAR(B207),3,14),1)+1 + TIME(2,0,0),
         DATE(YEAR(B207),4,7)-WEEKDAY(DATE(YEAR(B207),4,7),1)+1 + TIME(2,0,0)
       ),
  B207 &lt;  IF(
         YEAR(B207)&gt;=2007,
         DATE(YEAR(B207),11,7)-WEEKDAY(DATE(YEAR(B207),11,7),1)+1 + TIME(2,0,0),
         DATE(YEAR(B207),10,31)-WEEKDAY(DATE(YEAR(B207),10,31),1) + TIME(2,0,0)
       )
 ),
 "UTC-4",
 "UTC-5"
)</f>
        <v>UTC-5</v>
      </c>
      <c r="E207" s="12">
        <v>2.6579999999999999E-2</v>
      </c>
    </row>
    <row r="208" spans="1:5" x14ac:dyDescent="0.3">
      <c r="A208" s="9">
        <v>43160</v>
      </c>
      <c r="B208" s="5">
        <v>43186</v>
      </c>
      <c r="C208" s="6">
        <v>0.54166666666666663</v>
      </c>
      <c r="D208" s="7" t="str">
        <f>IF(
 AND(
  B208 &gt;= IF(
         YEAR(B208)&gt;=2007,
         DATE(YEAR(B208),3,14)-WEEKDAY(DATE(YEAR(B208),3,14),1)+1 + TIME(2,0,0),
         DATE(YEAR(B208),4,7)-WEEKDAY(DATE(YEAR(B208),4,7),1)+1 + TIME(2,0,0)
       ),
  B208 &lt;  IF(
         YEAR(B208)&gt;=2007,
         DATE(YEAR(B208),11,7)-WEEKDAY(DATE(YEAR(B208),11,7),1)+1 + TIME(2,0,0),
         DATE(YEAR(B208),10,31)-WEEKDAY(DATE(YEAR(B208),10,31),1) + TIME(2,0,0)
       )
 ),
 "UTC-4",
 "UTC-5"
)</f>
        <v>UTC-4</v>
      </c>
      <c r="E208" s="12">
        <v>2.6120000000000001E-2</v>
      </c>
    </row>
    <row r="209" spans="1:5" x14ac:dyDescent="0.3">
      <c r="A209" s="9">
        <v>43191</v>
      </c>
      <c r="B209" s="5">
        <v>43215</v>
      </c>
      <c r="C209" s="6">
        <v>0.54166666666666663</v>
      </c>
      <c r="D209" s="7" t="str">
        <f>IF(
 AND(
  B209 &gt;= IF(
         YEAR(B209)&gt;=2007,
         DATE(YEAR(B209),3,14)-WEEKDAY(DATE(YEAR(B209),3,14),1)+1 + TIME(2,0,0),
         DATE(YEAR(B209),4,7)-WEEKDAY(DATE(YEAR(B209),4,7),1)+1 + TIME(2,0,0)
       ),
  B209 &lt;  IF(
         YEAR(B209)&gt;=2007,
         DATE(YEAR(B209),11,7)-WEEKDAY(DATE(YEAR(B209),11,7),1)+1 + TIME(2,0,0),
         DATE(YEAR(B209),10,31)-WEEKDAY(DATE(YEAR(B209),10,31),1) + TIME(2,0,0)
       )
 ),
 "UTC-4",
 "UTC-5"
)</f>
        <v>UTC-4</v>
      </c>
      <c r="E209" s="12">
        <v>2.8369999999999999E-2</v>
      </c>
    </row>
    <row r="210" spans="1:5" x14ac:dyDescent="0.3">
      <c r="A210" s="9">
        <v>43221</v>
      </c>
      <c r="B210" s="5">
        <v>43243</v>
      </c>
      <c r="C210" s="6">
        <v>0.54166666666666663</v>
      </c>
      <c r="D210" s="7" t="str">
        <f>IF(
 AND(
  B210 &gt;= IF(
         YEAR(B210)&gt;=2007,
         DATE(YEAR(B210),3,14)-WEEKDAY(DATE(YEAR(B210),3,14),1)+1 + TIME(2,0,0),
         DATE(YEAR(B210),4,7)-WEEKDAY(DATE(YEAR(B210),4,7),1)+1 + TIME(2,0,0)
       ),
  B210 &lt;  IF(
         YEAR(B210)&gt;=2007,
         DATE(YEAR(B210),11,7)-WEEKDAY(DATE(YEAR(B210),11,7),1)+1 + TIME(2,0,0),
         DATE(YEAR(B210),10,31)-WEEKDAY(DATE(YEAR(B210),10,31),1) + TIME(2,0,0)
       )
 ),
 "UTC-4",
 "UTC-5"
)</f>
        <v>UTC-4</v>
      </c>
      <c r="E210" s="12">
        <v>2.8639999999999999E-2</v>
      </c>
    </row>
    <row r="211" spans="1:5" x14ac:dyDescent="0.3">
      <c r="A211" s="9">
        <v>43252</v>
      </c>
      <c r="B211" s="5">
        <v>43278</v>
      </c>
      <c r="C211" s="6">
        <v>0.54166666666666663</v>
      </c>
      <c r="D211" s="7" t="str">
        <f>IF(
 AND(
  B211 &gt;= IF(
         YEAR(B211)&gt;=2007,
         DATE(YEAR(B211),3,14)-WEEKDAY(DATE(YEAR(B211),3,14),1)+1 + TIME(2,0,0),
         DATE(YEAR(B211),4,7)-WEEKDAY(DATE(YEAR(B211),4,7),1)+1 + TIME(2,0,0)
       ),
  B211 &lt;  IF(
         YEAR(B211)&gt;=2007,
         DATE(YEAR(B211),11,7)-WEEKDAY(DATE(YEAR(B211),11,7),1)+1 + TIME(2,0,0),
         DATE(YEAR(B211),10,31)-WEEKDAY(DATE(YEAR(B211),10,31),1) + TIME(2,0,0)
       )
 ),
 "UTC-4",
 "UTC-5"
)</f>
        <v>UTC-4</v>
      </c>
      <c r="E211" s="12">
        <v>2.7189999999999999E-2</v>
      </c>
    </row>
    <row r="212" spans="1:5" x14ac:dyDescent="0.3">
      <c r="A212" s="9">
        <v>43282</v>
      </c>
      <c r="B212" s="5">
        <v>43306</v>
      </c>
      <c r="C212" s="6">
        <v>0.54166666666666663</v>
      </c>
      <c r="D212" s="7" t="str">
        <f>IF(
 AND(
  B212 &gt;= IF(
         YEAR(B212)&gt;=2007,
         DATE(YEAR(B212),3,14)-WEEKDAY(DATE(YEAR(B212),3,14),1)+1 + TIME(2,0,0),
         DATE(YEAR(B212),4,7)-WEEKDAY(DATE(YEAR(B212),4,7),1)+1 + TIME(2,0,0)
       ),
  B212 &lt;  IF(
         YEAR(B212)&gt;=2007,
         DATE(YEAR(B212),11,7)-WEEKDAY(DATE(YEAR(B212),11,7),1)+1 + TIME(2,0,0),
         DATE(YEAR(B212),10,31)-WEEKDAY(DATE(YEAR(B212),10,31),1) + TIME(2,0,0)
       )
 ),
 "UTC-4",
 "UTC-5"
)</f>
        <v>UTC-4</v>
      </c>
      <c r="E212" s="12">
        <v>2.8150000000000001E-2</v>
      </c>
    </row>
    <row r="213" spans="1:5" x14ac:dyDescent="0.3">
      <c r="A213" s="9">
        <v>43313</v>
      </c>
      <c r="B213" s="5">
        <v>43340</v>
      </c>
      <c r="C213" s="6">
        <v>0.54166666666666663</v>
      </c>
      <c r="D213" s="7" t="str">
        <f>IF(
 AND(
  B213 &gt;= IF(
         YEAR(B213)&gt;=2007,
         DATE(YEAR(B213),3,14)-WEEKDAY(DATE(YEAR(B213),3,14),1)+1 + TIME(2,0,0),
         DATE(YEAR(B213),4,7)-WEEKDAY(DATE(YEAR(B213),4,7),1)+1 + TIME(2,0,0)
       ),
  B213 &lt;  IF(
         YEAR(B213)&gt;=2007,
         DATE(YEAR(B213),11,7)-WEEKDAY(DATE(YEAR(B213),11,7),1)+1 + TIME(2,0,0),
         DATE(YEAR(B213),10,31)-WEEKDAY(DATE(YEAR(B213),10,31),1) + TIME(2,0,0)
       )
 ),
 "UTC-4",
 "UTC-5"
)</f>
        <v>UTC-4</v>
      </c>
      <c r="E213" s="12">
        <v>2.7650000000000001E-2</v>
      </c>
    </row>
    <row r="214" spans="1:5" x14ac:dyDescent="0.3">
      <c r="A214" s="9">
        <v>43344</v>
      </c>
      <c r="B214" s="5">
        <v>43368</v>
      </c>
      <c r="C214" s="6">
        <v>0.54166666666666663</v>
      </c>
      <c r="D214" s="7" t="str">
        <f>IF(
 AND(
  B214 &gt;= IF(
         YEAR(B214)&gt;=2007,
         DATE(YEAR(B214),3,14)-WEEKDAY(DATE(YEAR(B214),3,14),1)+1 + TIME(2,0,0),
         DATE(YEAR(B214),4,7)-WEEKDAY(DATE(YEAR(B214),4,7),1)+1 + TIME(2,0,0)
       ),
  B214 &lt;  IF(
         YEAR(B214)&gt;=2007,
         DATE(YEAR(B214),11,7)-WEEKDAY(DATE(YEAR(B214),11,7),1)+1 + TIME(2,0,0),
         DATE(YEAR(B214),10,31)-WEEKDAY(DATE(YEAR(B214),10,31),1) + TIME(2,0,0)
       )
 ),
 "UTC-4",
 "UTC-5"
)</f>
        <v>UTC-4</v>
      </c>
      <c r="E214" s="12">
        <v>2.997E-2</v>
      </c>
    </row>
    <row r="215" spans="1:5" x14ac:dyDescent="0.3">
      <c r="A215" s="9">
        <v>43374</v>
      </c>
      <c r="B215" s="5">
        <v>43397</v>
      </c>
      <c r="C215" s="6">
        <v>0.54166666666666663</v>
      </c>
      <c r="D215" s="7" t="str">
        <f>IF(
 AND(
  B215 &gt;= IF(
         YEAR(B215)&gt;=2007,
         DATE(YEAR(B215),3,14)-WEEKDAY(DATE(YEAR(B215),3,14),1)+1 + TIME(2,0,0),
         DATE(YEAR(B215),4,7)-WEEKDAY(DATE(YEAR(B215),4,7),1)+1 + TIME(2,0,0)
       ),
  B215 &lt;  IF(
         YEAR(B215)&gt;=2007,
         DATE(YEAR(B215),11,7)-WEEKDAY(DATE(YEAR(B215),11,7),1)+1 + TIME(2,0,0),
         DATE(YEAR(B215),10,31)-WEEKDAY(DATE(YEAR(B215),10,31),1) + TIME(2,0,0)
       )
 ),
 "UTC-4",
 "UTC-5"
)</f>
        <v>UTC-4</v>
      </c>
      <c r="E215" s="12">
        <v>2.997E-2</v>
      </c>
    </row>
    <row r="216" spans="1:5" x14ac:dyDescent="0.3">
      <c r="A216" s="9">
        <v>43405</v>
      </c>
      <c r="B216" s="5">
        <v>43431</v>
      </c>
      <c r="C216" s="6">
        <v>0.54166666666666663</v>
      </c>
      <c r="D216" s="7" t="str">
        <f>IF(
 AND(
  B216 &gt;= IF(
         YEAR(B216)&gt;=2007,
         DATE(YEAR(B216),3,14)-WEEKDAY(DATE(YEAR(B216),3,14),1)+1 + TIME(2,0,0),
         DATE(YEAR(B216),4,7)-WEEKDAY(DATE(YEAR(B216),4,7),1)+1 + TIME(2,0,0)
       ),
  B216 &lt;  IF(
         YEAR(B216)&gt;=2007,
         DATE(YEAR(B216),11,7)-WEEKDAY(DATE(YEAR(B216),11,7),1)+1 + TIME(2,0,0),
         DATE(YEAR(B216),10,31)-WEEKDAY(DATE(YEAR(B216),10,31),1) + TIME(2,0,0)
       )
 ),
 "UTC-4",
 "UTC-5"
)</f>
        <v>UTC-5</v>
      </c>
      <c r="E216" s="12">
        <v>2.8799999999999999E-2</v>
      </c>
    </row>
    <row r="217" spans="1:5" x14ac:dyDescent="0.3">
      <c r="A217" s="9">
        <v>43435</v>
      </c>
      <c r="B217" s="5">
        <v>43460</v>
      </c>
      <c r="C217" s="6">
        <v>0.54166666666666663</v>
      </c>
      <c r="D217" s="7" t="str">
        <f>IF(
 AND(
  B217 &gt;= IF(
         YEAR(B217)&gt;=2007,
         DATE(YEAR(B217),3,14)-WEEKDAY(DATE(YEAR(B217),3,14),1)+1 + TIME(2,0,0),
         DATE(YEAR(B217),4,7)-WEEKDAY(DATE(YEAR(B217),4,7),1)+1 + TIME(2,0,0)
       ),
  B217 &lt;  IF(
         YEAR(B217)&gt;=2007,
         DATE(YEAR(B217),11,7)-WEEKDAY(DATE(YEAR(B217),11,7),1)+1 + TIME(2,0,0),
         DATE(YEAR(B217),10,31)-WEEKDAY(DATE(YEAR(B217),10,31),1) + TIME(2,0,0)
       )
 ),
 "UTC-4",
 "UTC-5"
)</f>
        <v>UTC-5</v>
      </c>
      <c r="E217" s="12">
        <v>2.6519999999999998E-2</v>
      </c>
    </row>
    <row r="218" spans="1:5" x14ac:dyDescent="0.3">
      <c r="A218" s="9">
        <v>43466</v>
      </c>
      <c r="B218" s="5">
        <v>43493</v>
      </c>
      <c r="C218" s="6">
        <v>0.54166666666666663</v>
      </c>
      <c r="D218" s="7" t="str">
        <f>IF(
 AND(
  B218 &gt;= IF(
         YEAR(B218)&gt;=2007,
         DATE(YEAR(B218),3,14)-WEEKDAY(DATE(YEAR(B218),3,14),1)+1 + TIME(2,0,0),
         DATE(YEAR(B218),4,7)-WEEKDAY(DATE(YEAR(B218),4,7),1)+1 + TIME(2,0,0)
       ),
  B218 &lt;  IF(
         YEAR(B218)&gt;=2007,
         DATE(YEAR(B218),11,7)-WEEKDAY(DATE(YEAR(B218),11,7),1)+1 + TIME(2,0,0),
         DATE(YEAR(B218),10,31)-WEEKDAY(DATE(YEAR(B218),10,31),1) + TIME(2,0,0)
       )
 ),
 "UTC-4",
 "UTC-5"
)</f>
        <v>UTC-5</v>
      </c>
      <c r="E218" s="12">
        <v>2.5760000000000002E-2</v>
      </c>
    </row>
    <row r="219" spans="1:5" x14ac:dyDescent="0.3">
      <c r="A219" s="9">
        <v>43497</v>
      </c>
      <c r="B219" s="5">
        <v>43521</v>
      </c>
      <c r="C219" s="6">
        <v>0.54166666666666663</v>
      </c>
      <c r="D219" s="7" t="str">
        <f>IF(
 AND(
  B219 &gt;= IF(
         YEAR(B219)&gt;=2007,
         DATE(YEAR(B219),3,14)-WEEKDAY(DATE(YEAR(B219),3,14),1)+1 + TIME(2,0,0),
         DATE(YEAR(B219),4,7)-WEEKDAY(DATE(YEAR(B219),4,7),1)+1 + TIME(2,0,0)
       ),
  B219 &lt;  IF(
         YEAR(B219)&gt;=2007,
         DATE(YEAR(B219),11,7)-WEEKDAY(DATE(YEAR(B219),11,7),1)+1 + TIME(2,0,0),
         DATE(YEAR(B219),10,31)-WEEKDAY(DATE(YEAR(B219),10,31),1) + TIME(2,0,0)
       )
 ),
 "UTC-4",
 "UTC-5"
)</f>
        <v>UTC-5</v>
      </c>
      <c r="E219" s="12">
        <v>2.4889999999999999E-2</v>
      </c>
    </row>
    <row r="220" spans="1:5" x14ac:dyDescent="0.3">
      <c r="A220" s="9">
        <v>43525</v>
      </c>
      <c r="B220" s="5">
        <v>43551</v>
      </c>
      <c r="C220" s="6">
        <v>0.54166666666666663</v>
      </c>
      <c r="D220" s="7" t="str">
        <f>IF(
 AND(
  B220 &gt;= IF(
         YEAR(B220)&gt;=2007,
         DATE(YEAR(B220),3,14)-WEEKDAY(DATE(YEAR(B220),3,14),1)+1 + TIME(2,0,0),
         DATE(YEAR(B220),4,7)-WEEKDAY(DATE(YEAR(B220),4,7),1)+1 + TIME(2,0,0)
       ),
  B220 &lt;  IF(
         YEAR(B220)&gt;=2007,
         DATE(YEAR(B220),11,7)-WEEKDAY(DATE(YEAR(B220),11,7),1)+1 + TIME(2,0,0),
         DATE(YEAR(B220),10,31)-WEEKDAY(DATE(YEAR(B220),10,31),1) + TIME(2,0,0)
       )
 ),
 "UTC-4",
 "UTC-5"
)</f>
        <v>UTC-4</v>
      </c>
      <c r="E220" s="12">
        <v>2.172E-2</v>
      </c>
    </row>
    <row r="221" spans="1:5" x14ac:dyDescent="0.3">
      <c r="A221" s="9">
        <v>43556</v>
      </c>
      <c r="B221" s="5">
        <v>43579</v>
      </c>
      <c r="C221" s="6">
        <v>0.54166666666666663</v>
      </c>
      <c r="D221" s="7" t="str">
        <f>IF(
 AND(
  B221 &gt;= IF(
         YEAR(B221)&gt;=2007,
         DATE(YEAR(B221),3,14)-WEEKDAY(DATE(YEAR(B221),3,14),1)+1 + TIME(2,0,0),
         DATE(YEAR(B221),4,7)-WEEKDAY(DATE(YEAR(B221),4,7),1)+1 + TIME(2,0,0)
       ),
  B221 &lt;  IF(
         YEAR(B221)&gt;=2007,
         DATE(YEAR(B221),11,7)-WEEKDAY(DATE(YEAR(B221),11,7),1)+1 + TIME(2,0,0),
         DATE(YEAR(B221),10,31)-WEEKDAY(DATE(YEAR(B221),10,31),1) + TIME(2,0,0)
       )
 ),
 "UTC-4",
 "UTC-5"
)</f>
        <v>UTC-4</v>
      </c>
      <c r="E221" s="12">
        <v>2.315E-2</v>
      </c>
    </row>
    <row r="222" spans="1:5" x14ac:dyDescent="0.3">
      <c r="A222" s="9">
        <v>43586</v>
      </c>
      <c r="B222" s="5">
        <v>43613</v>
      </c>
      <c r="C222" s="6">
        <v>0.54166666666666663</v>
      </c>
      <c r="D222" s="7" t="str">
        <f>IF(
 AND(
  B222 &gt;= IF(
         YEAR(B222)&gt;=2007,
         DATE(YEAR(B222),3,14)-WEEKDAY(DATE(YEAR(B222),3,14),1)+1 + TIME(2,0,0),
         DATE(YEAR(B222),4,7)-WEEKDAY(DATE(YEAR(B222),4,7),1)+1 + TIME(2,0,0)
       ),
  B222 &lt;  IF(
         YEAR(B222)&gt;=2007,
         DATE(YEAR(B222),11,7)-WEEKDAY(DATE(YEAR(B222),11,7),1)+1 + TIME(2,0,0),
         DATE(YEAR(B222),10,31)-WEEKDAY(DATE(YEAR(B222),10,31),1) + TIME(2,0,0)
       )
 ),
 "UTC-4",
 "UTC-5"
)</f>
        <v>UTC-4</v>
      </c>
      <c r="E222" s="12">
        <v>2.0650000000000002E-2</v>
      </c>
    </row>
    <row r="223" spans="1:5" x14ac:dyDescent="0.3">
      <c r="A223" s="9">
        <v>43617</v>
      </c>
      <c r="B223" s="5">
        <v>43642</v>
      </c>
      <c r="C223" s="6">
        <v>0.54166666666666663</v>
      </c>
      <c r="D223" s="7" t="str">
        <f>IF(
 AND(
  B223 &gt;= IF(
         YEAR(B223)&gt;=2007,
         DATE(YEAR(B223),3,14)-WEEKDAY(DATE(YEAR(B223),3,14),1)+1 + TIME(2,0,0),
         DATE(YEAR(B223),4,7)-WEEKDAY(DATE(YEAR(B223),4,7),1)+1 + TIME(2,0,0)
       ),
  B223 &lt;  IF(
         YEAR(B223)&gt;=2007,
         DATE(YEAR(B223),11,7)-WEEKDAY(DATE(YEAR(B223),11,7),1)+1 + TIME(2,0,0),
         DATE(YEAR(B223),10,31)-WEEKDAY(DATE(YEAR(B223),10,31),1) + TIME(2,0,0)
       )
 ),
 "UTC-4",
 "UTC-5"
)</f>
        <v>UTC-4</v>
      </c>
      <c r="E223" s="12">
        <v>1.7909999999999999E-2</v>
      </c>
    </row>
    <row r="224" spans="1:5" x14ac:dyDescent="0.3">
      <c r="A224" s="9">
        <v>43647</v>
      </c>
      <c r="B224" s="5">
        <v>43670</v>
      </c>
      <c r="C224" s="6">
        <v>0.54166666666666663</v>
      </c>
      <c r="D224" s="7" t="str">
        <f>IF(
 AND(
  B224 &gt;= IF(
         YEAR(B224)&gt;=2007,
         DATE(YEAR(B224),3,14)-WEEKDAY(DATE(YEAR(B224),3,14),1)+1 + TIME(2,0,0),
         DATE(YEAR(B224),4,7)-WEEKDAY(DATE(YEAR(B224),4,7),1)+1 + TIME(2,0,0)
       ),
  B224 &lt;  IF(
         YEAR(B224)&gt;=2007,
         DATE(YEAR(B224),11,7)-WEEKDAY(DATE(YEAR(B224),11,7),1)+1 + TIME(2,0,0),
         DATE(YEAR(B224),10,31)-WEEKDAY(DATE(YEAR(B224),10,31),1) + TIME(2,0,0)
       )
 ),
 "UTC-4",
 "UTC-5"
)</f>
        <v>UTC-4</v>
      </c>
      <c r="E224" s="12">
        <v>1.8239999999999999E-2</v>
      </c>
    </row>
    <row r="225" spans="1:5" x14ac:dyDescent="0.3">
      <c r="A225" s="9">
        <v>43678</v>
      </c>
      <c r="B225" s="5">
        <v>43705</v>
      </c>
      <c r="C225" s="6">
        <v>0.54166666666666663</v>
      </c>
      <c r="D225" s="7" t="str">
        <f>IF(
 AND(
  B225 &gt;= IF(
         YEAR(B225)&gt;=2007,
         DATE(YEAR(B225),3,14)-WEEKDAY(DATE(YEAR(B225),3,14),1)+1 + TIME(2,0,0),
         DATE(YEAR(B225),4,7)-WEEKDAY(DATE(YEAR(B225),4,7),1)+1 + TIME(2,0,0)
       ),
  B225 &lt;  IF(
         YEAR(B225)&gt;=2007,
         DATE(YEAR(B225),11,7)-WEEKDAY(DATE(YEAR(B225),11,7),1)+1 + TIME(2,0,0),
         DATE(YEAR(B225),10,31)-WEEKDAY(DATE(YEAR(B225),10,31),1) + TIME(2,0,0)
       )
 ),
 "UTC-4",
 "UTC-5"
)</f>
        <v>UTC-4</v>
      </c>
      <c r="E225" s="12">
        <v>1.3650000000000001E-2</v>
      </c>
    </row>
    <row r="226" spans="1:5" x14ac:dyDescent="0.3">
      <c r="A226" s="9">
        <v>43709</v>
      </c>
      <c r="B226" s="5">
        <v>43733</v>
      </c>
      <c r="C226" s="6">
        <v>0.54166666666666663</v>
      </c>
      <c r="D226" s="7" t="str">
        <f>IF(
 AND(
  B226 &gt;= IF(
         YEAR(B226)&gt;=2007,
         DATE(YEAR(B226),3,14)-WEEKDAY(DATE(YEAR(B226),3,14),1)+1 + TIME(2,0,0),
         DATE(YEAR(B226),4,7)-WEEKDAY(DATE(YEAR(B226),4,7),1)+1 + TIME(2,0,0)
       ),
  B226 &lt;  IF(
         YEAR(B226)&gt;=2007,
         DATE(YEAR(B226),11,7)-WEEKDAY(DATE(YEAR(B226),11,7),1)+1 + TIME(2,0,0),
         DATE(YEAR(B226),10,31)-WEEKDAY(DATE(YEAR(B226),10,31),1) + TIME(2,0,0)
       )
 ),
 "UTC-4",
 "UTC-5"
)</f>
        <v>UTC-4</v>
      </c>
      <c r="E226" s="12">
        <v>1.6E-2</v>
      </c>
    </row>
    <row r="227" spans="1:5" x14ac:dyDescent="0.3">
      <c r="A227" s="9">
        <v>43739</v>
      </c>
      <c r="B227" s="5">
        <v>43761</v>
      </c>
      <c r="C227" s="6">
        <v>0.54166666666666663</v>
      </c>
      <c r="D227" s="7" t="str">
        <f>IF(
 AND(
  B227 &gt;= IF(
         YEAR(B227)&gt;=2007,
         DATE(YEAR(B227),3,14)-WEEKDAY(DATE(YEAR(B227),3,14),1)+1 + TIME(2,0,0),
         DATE(YEAR(B227),4,7)-WEEKDAY(DATE(YEAR(B227),4,7),1)+1 + TIME(2,0,0)
       ),
  B227 &lt;  IF(
         YEAR(B227)&gt;=2007,
         DATE(YEAR(B227),11,7)-WEEKDAY(DATE(YEAR(B227),11,7),1)+1 + TIME(2,0,0),
         DATE(YEAR(B227),10,31)-WEEKDAY(DATE(YEAR(B227),10,31),1) + TIME(2,0,0)
       )
 ),
 "UTC-4",
 "UTC-5"
)</f>
        <v>UTC-4</v>
      </c>
      <c r="E227" s="12">
        <v>1.5699999999999999E-2</v>
      </c>
    </row>
    <row r="228" spans="1:5" x14ac:dyDescent="0.3">
      <c r="A228" s="9">
        <v>43770</v>
      </c>
      <c r="B228" s="5">
        <v>43795</v>
      </c>
      <c r="C228" s="6">
        <v>0.54166666666666663</v>
      </c>
      <c r="D228" s="7" t="str">
        <f>IF(
 AND(
  B228 &gt;= IF(
         YEAR(B228)&gt;=2007,
         DATE(YEAR(B228),3,14)-WEEKDAY(DATE(YEAR(B228),3,14),1)+1 + TIME(2,0,0),
         DATE(YEAR(B228),4,7)-WEEKDAY(DATE(YEAR(B228),4,7),1)+1 + TIME(2,0,0)
       ),
  B228 &lt;  IF(
         YEAR(B228)&gt;=2007,
         DATE(YEAR(B228),11,7)-WEEKDAY(DATE(YEAR(B228),11,7),1)+1 + TIME(2,0,0),
         DATE(YEAR(B228),10,31)-WEEKDAY(DATE(YEAR(B228),10,31),1) + TIME(2,0,0)
       )
 ),
 "UTC-4",
 "UTC-5"
)</f>
        <v>UTC-5</v>
      </c>
      <c r="E228" s="12">
        <v>1.5869999999999999E-2</v>
      </c>
    </row>
    <row r="229" spans="1:5" x14ac:dyDescent="0.3">
      <c r="A229" s="9">
        <v>43800</v>
      </c>
      <c r="B229" s="5">
        <v>43823</v>
      </c>
      <c r="C229" s="6">
        <v>0.41666666666666669</v>
      </c>
      <c r="D229" s="7" t="str">
        <f>IF(
 AND(
  B229 &gt;= IF(
         YEAR(B229)&gt;=2007,
         DATE(YEAR(B229),3,14)-WEEKDAY(DATE(YEAR(B229),3,14),1)+1 + TIME(2,0,0),
         DATE(YEAR(B229),4,7)-WEEKDAY(DATE(YEAR(B229),4,7),1)+1 + TIME(2,0,0)
       ),
  B229 &lt;  IF(
         YEAR(B229)&gt;=2007,
         DATE(YEAR(B229),11,7)-WEEKDAY(DATE(YEAR(B229),11,7),1)+1 + TIME(2,0,0),
         DATE(YEAR(B229),10,31)-WEEKDAY(DATE(YEAR(B229),10,31),1) + TIME(2,0,0)
       )
 ),
 "UTC-4",
 "UTC-5"
)</f>
        <v>UTC-5</v>
      </c>
      <c r="E229" s="12">
        <v>1.7559999999999999E-2</v>
      </c>
    </row>
    <row r="230" spans="1:5" x14ac:dyDescent="0.3">
      <c r="A230" s="9">
        <v>43831</v>
      </c>
      <c r="B230" s="5">
        <v>43857</v>
      </c>
      <c r="C230" s="6">
        <v>0.54166666666666663</v>
      </c>
      <c r="D230" s="7" t="str">
        <f>IF(
 AND(
  B230 &gt;= IF(
         YEAR(B230)&gt;=2007,
         DATE(YEAR(B230),3,14)-WEEKDAY(DATE(YEAR(B230),3,14),1)+1 + TIME(2,0,0),
         DATE(YEAR(B230),4,7)-WEEKDAY(DATE(YEAR(B230),4,7),1)+1 + TIME(2,0,0)
       ),
  B230 &lt;  IF(
         YEAR(B230)&gt;=2007,
         DATE(YEAR(B230),11,7)-WEEKDAY(DATE(YEAR(B230),11,7),1)+1 + TIME(2,0,0),
         DATE(YEAR(B230),10,31)-WEEKDAY(DATE(YEAR(B230),10,31),1) + TIME(2,0,0)
       )
 ),
 "UTC-4",
 "UTC-5"
)</f>
        <v>UTC-5</v>
      </c>
      <c r="E230" s="12">
        <v>1.448E-2</v>
      </c>
    </row>
    <row r="231" spans="1:5" x14ac:dyDescent="0.3">
      <c r="A231" s="9">
        <v>43862</v>
      </c>
      <c r="B231" s="5">
        <v>43887</v>
      </c>
      <c r="C231" s="6">
        <v>0.54166666666666663</v>
      </c>
      <c r="D231" s="7" t="str">
        <f>IF(
 AND(
  B231 &gt;= IF(
         YEAR(B231)&gt;=2007,
         DATE(YEAR(B231),3,14)-WEEKDAY(DATE(YEAR(B231),3,14),1)+1 + TIME(2,0,0),
         DATE(YEAR(B231),4,7)-WEEKDAY(DATE(YEAR(B231),4,7),1)+1 + TIME(2,0,0)
       ),
  B231 &lt;  IF(
         YEAR(B231)&gt;=2007,
         DATE(YEAR(B231),11,7)-WEEKDAY(DATE(YEAR(B231),11,7),1)+1 + TIME(2,0,0),
         DATE(YEAR(B231),10,31)-WEEKDAY(DATE(YEAR(B231),10,31),1) + TIME(2,0,0)
       )
 ),
 "UTC-4",
 "UTC-5"
)</f>
        <v>UTC-5</v>
      </c>
      <c r="E231" s="12">
        <v>1.15E-2</v>
      </c>
    </row>
    <row r="232" spans="1:5" x14ac:dyDescent="0.3">
      <c r="A232" s="9">
        <v>43891</v>
      </c>
      <c r="B232" s="5">
        <v>43915</v>
      </c>
      <c r="C232" s="6">
        <v>0.54166666666666663</v>
      </c>
      <c r="D232" s="7" t="str">
        <f>IF(
 AND(
  B232 &gt;= IF(
         YEAR(B232)&gt;=2007,
         DATE(YEAR(B232),3,14)-WEEKDAY(DATE(YEAR(B232),3,14),1)+1 + TIME(2,0,0),
         DATE(YEAR(B232),4,7)-WEEKDAY(DATE(YEAR(B232),4,7),1)+1 + TIME(2,0,0)
       ),
  B232 &lt;  IF(
         YEAR(B232)&gt;=2007,
         DATE(YEAR(B232),11,7)-WEEKDAY(DATE(YEAR(B232),11,7),1)+1 + TIME(2,0,0),
         DATE(YEAR(B232),10,31)-WEEKDAY(DATE(YEAR(B232),10,31),1) + TIME(2,0,0)
       )
 ),
 "UTC-4",
 "UTC-5"
)</f>
        <v>UTC-4</v>
      </c>
      <c r="E232" s="12">
        <v>5.3499999999999997E-3</v>
      </c>
    </row>
    <row r="233" spans="1:5" x14ac:dyDescent="0.3">
      <c r="A233" s="9">
        <v>43922</v>
      </c>
      <c r="B233" s="5">
        <v>43948</v>
      </c>
      <c r="C233" s="6">
        <v>0.54166666666666663</v>
      </c>
      <c r="D233" s="7" t="str">
        <f>IF(
 AND(
  B233 &gt;= IF(
         YEAR(B233)&gt;=2007,
         DATE(YEAR(B233),3,14)-WEEKDAY(DATE(YEAR(B233),3,14),1)+1 + TIME(2,0,0),
         DATE(YEAR(B233),4,7)-WEEKDAY(DATE(YEAR(B233),4,7),1)+1 + TIME(2,0,0)
       ),
  B233 &lt;  IF(
         YEAR(B233)&gt;=2007,
         DATE(YEAR(B233),11,7)-WEEKDAY(DATE(YEAR(B233),11,7),1)+1 + TIME(2,0,0),
         DATE(YEAR(B233),10,31)-WEEKDAY(DATE(YEAR(B233),10,31),1) + TIME(2,0,0)
       )
 ),
 "UTC-4",
 "UTC-5"
)</f>
        <v>UTC-4</v>
      </c>
      <c r="E233" s="12">
        <v>3.9399999999999999E-3</v>
      </c>
    </row>
    <row r="234" spans="1:5" x14ac:dyDescent="0.3">
      <c r="A234" s="9">
        <v>43952</v>
      </c>
      <c r="B234" s="5">
        <v>43978</v>
      </c>
      <c r="C234" s="6">
        <v>0.54166666666666663</v>
      </c>
      <c r="D234" s="7" t="str">
        <f>IF(
 AND(
  B234 &gt;= IF(
         YEAR(B234)&gt;=2007,
         DATE(YEAR(B234),3,14)-WEEKDAY(DATE(YEAR(B234),3,14),1)+1 + TIME(2,0,0),
         DATE(YEAR(B234),4,7)-WEEKDAY(DATE(YEAR(B234),4,7),1)+1 + TIME(2,0,0)
       ),
  B234 &lt;  IF(
         YEAR(B234)&gt;=2007,
         DATE(YEAR(B234),11,7)-WEEKDAY(DATE(YEAR(B234),11,7),1)+1 + TIME(2,0,0),
         DATE(YEAR(B234),10,31)-WEEKDAY(DATE(YEAR(B234),10,31),1) + TIME(2,0,0)
       )
 ),
 "UTC-4",
 "UTC-5"
)</f>
        <v>UTC-4</v>
      </c>
      <c r="E234" s="12">
        <v>3.3400000000000001E-3</v>
      </c>
    </row>
    <row r="235" spans="1:5" x14ac:dyDescent="0.3">
      <c r="A235" s="9">
        <v>43983</v>
      </c>
      <c r="B235" s="5">
        <v>44006</v>
      </c>
      <c r="C235" s="6">
        <v>0.54166666666666663</v>
      </c>
      <c r="D235" s="7" t="str">
        <f>IF(
 AND(
  B235 &gt;= IF(
         YEAR(B235)&gt;=2007,
         DATE(YEAR(B235),3,14)-WEEKDAY(DATE(YEAR(B235),3,14),1)+1 + TIME(2,0,0),
         DATE(YEAR(B235),4,7)-WEEKDAY(DATE(YEAR(B235),4,7),1)+1 + TIME(2,0,0)
       ),
  B235 &lt;  IF(
         YEAR(B235)&gt;=2007,
         DATE(YEAR(B235),11,7)-WEEKDAY(DATE(YEAR(B235),11,7),1)+1 + TIME(2,0,0),
         DATE(YEAR(B235),10,31)-WEEKDAY(DATE(YEAR(B235),10,31),1) + TIME(2,0,0)
       )
 ),
 "UTC-4",
 "UTC-5"
)</f>
        <v>UTC-4</v>
      </c>
      <c r="E235" s="12">
        <v>3.3E-3</v>
      </c>
    </row>
    <row r="236" spans="1:5" x14ac:dyDescent="0.3">
      <c r="A236" s="9">
        <v>44013</v>
      </c>
      <c r="B236" s="5">
        <v>44039</v>
      </c>
      <c r="C236" s="6">
        <v>0.54166666666666663</v>
      </c>
      <c r="D236" s="7" t="str">
        <f>IF(
 AND(
  B236 &gt;= IF(
         YEAR(B236)&gt;=2007,
         DATE(YEAR(B236),3,14)-WEEKDAY(DATE(YEAR(B236),3,14),1)+1 + TIME(2,0,0),
         DATE(YEAR(B236),4,7)-WEEKDAY(DATE(YEAR(B236),4,7),1)+1 + TIME(2,0,0)
       ),
  B236 &lt;  IF(
         YEAR(B236)&gt;=2007,
         DATE(YEAR(B236),11,7)-WEEKDAY(DATE(YEAR(B236),11,7),1)+1 + TIME(2,0,0),
         DATE(YEAR(B236),10,31)-WEEKDAY(DATE(YEAR(B236),10,31),1) + TIME(2,0,0)
       )
 ),
 "UTC-4",
 "UTC-5"
)</f>
        <v>UTC-4</v>
      </c>
      <c r="E236" s="12">
        <v>2.8800000000000002E-3</v>
      </c>
    </row>
    <row r="237" spans="1:5" x14ac:dyDescent="0.3">
      <c r="A237" s="9">
        <v>44044</v>
      </c>
      <c r="B237" s="5">
        <v>44069</v>
      </c>
      <c r="C237" s="6">
        <v>0.54166666666666663</v>
      </c>
      <c r="D237" s="7" t="str">
        <f>IF(
 AND(
  B237 &gt;= IF(
         YEAR(B237)&gt;=2007,
         DATE(YEAR(B237),3,14)-WEEKDAY(DATE(YEAR(B237),3,14),1)+1 + TIME(2,0,0),
         DATE(YEAR(B237),4,7)-WEEKDAY(DATE(YEAR(B237),4,7),1)+1 + TIME(2,0,0)
       ),
  B237 &lt;  IF(
         YEAR(B237)&gt;=2007,
         DATE(YEAR(B237),11,7)-WEEKDAY(DATE(YEAR(B237),11,7),1)+1 + TIME(2,0,0),
         DATE(YEAR(B237),10,31)-WEEKDAY(DATE(YEAR(B237),10,31),1) + TIME(2,0,0)
       )
 ),
 "UTC-4",
 "UTC-5"
)</f>
        <v>UTC-4</v>
      </c>
      <c r="E237" s="12">
        <v>2.98E-3</v>
      </c>
    </row>
    <row r="238" spans="1:5" x14ac:dyDescent="0.3">
      <c r="A238" s="9">
        <v>44075</v>
      </c>
      <c r="B238" s="5">
        <v>44097</v>
      </c>
      <c r="C238" s="6">
        <v>0.54166666666666663</v>
      </c>
      <c r="D238" s="7" t="str">
        <f>IF(
 AND(
  B238 &gt;= IF(
         YEAR(B238)&gt;=2007,
         DATE(YEAR(B238),3,14)-WEEKDAY(DATE(YEAR(B238),3,14),1)+1 + TIME(2,0,0),
         DATE(YEAR(B238),4,7)-WEEKDAY(DATE(YEAR(B238),4,7),1)+1 + TIME(2,0,0)
       ),
  B238 &lt;  IF(
         YEAR(B238)&gt;=2007,
         DATE(YEAR(B238),11,7)-WEEKDAY(DATE(YEAR(B238),11,7),1)+1 + TIME(2,0,0),
         DATE(YEAR(B238),10,31)-WEEKDAY(DATE(YEAR(B238),10,31),1) + TIME(2,0,0)
       )
 ),
 "UTC-4",
 "UTC-5"
)</f>
        <v>UTC-4</v>
      </c>
      <c r="E238" s="12">
        <v>2.7499999999999998E-3</v>
      </c>
    </row>
    <row r="239" spans="1:5" x14ac:dyDescent="0.3">
      <c r="A239" s="9">
        <v>44105</v>
      </c>
      <c r="B239" s="5">
        <v>44132</v>
      </c>
      <c r="C239" s="6">
        <v>0.54166666666666663</v>
      </c>
      <c r="D239" s="7" t="str">
        <f>IF(
 AND(
  B239 &gt;= IF(
         YEAR(B239)&gt;=2007,
         DATE(YEAR(B239),3,14)-WEEKDAY(DATE(YEAR(B239),3,14),1)+1 + TIME(2,0,0),
         DATE(YEAR(B239),4,7)-WEEKDAY(DATE(YEAR(B239),4,7),1)+1 + TIME(2,0,0)
       ),
  B239 &lt;  IF(
         YEAR(B239)&gt;=2007,
         DATE(YEAR(B239),11,7)-WEEKDAY(DATE(YEAR(B239),11,7),1)+1 + TIME(2,0,0),
         DATE(YEAR(B239),10,31)-WEEKDAY(DATE(YEAR(B239),10,31),1) + TIME(2,0,0)
       )
 ),
 "UTC-4",
 "UTC-5"
)</f>
        <v>UTC-4</v>
      </c>
      <c r="E239" s="12">
        <v>3.3E-3</v>
      </c>
    </row>
    <row r="240" spans="1:5" x14ac:dyDescent="0.3">
      <c r="A240" s="9">
        <v>44136</v>
      </c>
      <c r="B240" s="5">
        <v>44158</v>
      </c>
      <c r="C240" s="6">
        <v>0.54166666666666663</v>
      </c>
      <c r="D240" s="7" t="str">
        <f>IF(
 AND(
  B240 &gt;= IF(
         YEAR(B240)&gt;=2007,
         DATE(YEAR(B240),3,14)-WEEKDAY(DATE(YEAR(B240),3,14),1)+1 + TIME(2,0,0),
         DATE(YEAR(B240),4,7)-WEEKDAY(DATE(YEAR(B240),4,7),1)+1 + TIME(2,0,0)
       ),
  B240 &lt;  IF(
         YEAR(B240)&gt;=2007,
         DATE(YEAR(B240),11,7)-WEEKDAY(DATE(YEAR(B240),11,7),1)+1 + TIME(2,0,0),
         DATE(YEAR(B240),10,31)-WEEKDAY(DATE(YEAR(B240),10,31),1) + TIME(2,0,0)
       )
 ),
 "UTC-4",
 "UTC-5"
)</f>
        <v>UTC-5</v>
      </c>
      <c r="E240" s="12">
        <v>3.9699999999999996E-3</v>
      </c>
    </row>
    <row r="241" spans="1:5" x14ac:dyDescent="0.3">
      <c r="A241" s="9">
        <v>44166</v>
      </c>
      <c r="B241" s="5">
        <v>44193</v>
      </c>
      <c r="C241" s="6">
        <v>0.54166666666666663</v>
      </c>
      <c r="D241" s="7" t="str">
        <f>IF(
 AND(
  B241 &gt;= IF(
         YEAR(B241)&gt;=2007,
         DATE(YEAR(B241),3,14)-WEEKDAY(DATE(YEAR(B241),3,14),1)+1 + TIME(2,0,0),
         DATE(YEAR(B241),4,7)-WEEKDAY(DATE(YEAR(B241),4,7),1)+1 + TIME(2,0,0)
       ),
  B241 &lt;  IF(
         YEAR(B241)&gt;=2007,
         DATE(YEAR(B241),11,7)-WEEKDAY(DATE(YEAR(B241),11,7),1)+1 + TIME(2,0,0),
         DATE(YEAR(B241),10,31)-WEEKDAY(DATE(YEAR(B241),10,31),1) + TIME(2,0,0)
       )
 ),
 "UTC-4",
 "UTC-5"
)</f>
        <v>UTC-5</v>
      </c>
      <c r="E241" s="12">
        <v>3.9399999999999999E-3</v>
      </c>
    </row>
    <row r="242" spans="1:5" x14ac:dyDescent="0.3">
      <c r="A242" s="9">
        <v>44197</v>
      </c>
      <c r="B242" s="5">
        <v>44222</v>
      </c>
      <c r="C242" s="6">
        <v>0.54166666666666663</v>
      </c>
      <c r="D242" s="7" t="str">
        <f>IF(
 AND(
  B242 &gt;= IF(
         YEAR(B242)&gt;=2007,
         DATE(YEAR(B242),3,14)-WEEKDAY(DATE(YEAR(B242),3,14),1)+1 + TIME(2,0,0),
         DATE(YEAR(B242),4,7)-WEEKDAY(DATE(YEAR(B242),4,7),1)+1 + TIME(2,0,0)
       ),
  B242 &lt;  IF(
         YEAR(B242)&gt;=2007,
         DATE(YEAR(B242),11,7)-WEEKDAY(DATE(YEAR(B242),11,7),1)+1 + TIME(2,0,0),
         DATE(YEAR(B242),10,31)-WEEKDAY(DATE(YEAR(B242),10,31),1) + TIME(2,0,0)
       )
 ),
 "UTC-4",
 "UTC-5"
)</f>
        <v>UTC-5</v>
      </c>
      <c r="E242" s="12">
        <v>4.2399999999999998E-3</v>
      </c>
    </row>
    <row r="243" spans="1:5" x14ac:dyDescent="0.3">
      <c r="A243" s="9">
        <v>44228</v>
      </c>
      <c r="B243" s="5">
        <v>44251</v>
      </c>
      <c r="C243" s="6">
        <v>0.54166666666666663</v>
      </c>
      <c r="D243" s="7" t="str">
        <f>IF(
 AND(
  B243 &gt;= IF(
         YEAR(B243)&gt;=2007,
         DATE(YEAR(B243),3,14)-WEEKDAY(DATE(YEAR(B243),3,14),1)+1 + TIME(2,0,0),
         DATE(YEAR(B243),4,7)-WEEKDAY(DATE(YEAR(B243),4,7),1)+1 + TIME(2,0,0)
       ),
  B243 &lt;  IF(
         YEAR(B243)&gt;=2007,
         DATE(YEAR(B243),11,7)-WEEKDAY(DATE(YEAR(B243),11,7),1)+1 + TIME(2,0,0),
         DATE(YEAR(B243),10,31)-WEEKDAY(DATE(YEAR(B243),10,31),1) + TIME(2,0,0)
       )
 ),
 "UTC-4",
 "UTC-5"
)</f>
        <v>UTC-5</v>
      </c>
      <c r="E243" s="12">
        <v>6.2100000000000002E-3</v>
      </c>
    </row>
    <row r="244" spans="1:5" x14ac:dyDescent="0.3">
      <c r="A244" s="9">
        <v>44256</v>
      </c>
      <c r="B244" s="5">
        <v>44279</v>
      </c>
      <c r="C244" s="6">
        <v>0.54166666666666663</v>
      </c>
      <c r="D244" s="7" t="str">
        <f>IF(
 AND(
  B244 &gt;= IF(
         YEAR(B244)&gt;=2007,
         DATE(YEAR(B244),3,14)-WEEKDAY(DATE(YEAR(B244),3,14),1)+1 + TIME(2,0,0),
         DATE(YEAR(B244),4,7)-WEEKDAY(DATE(YEAR(B244),4,7),1)+1 + TIME(2,0,0)
       ),
  B244 &lt;  IF(
         YEAR(B244)&gt;=2007,
         DATE(YEAR(B244),11,7)-WEEKDAY(DATE(YEAR(B244),11,7),1)+1 + TIME(2,0,0),
         DATE(YEAR(B244),10,31)-WEEKDAY(DATE(YEAR(B244),10,31),1) + TIME(2,0,0)
       )
 ),
 "UTC-4",
 "UTC-5"
)</f>
        <v>UTC-4</v>
      </c>
      <c r="E244" s="12">
        <v>8.5000000000000006E-3</v>
      </c>
    </row>
    <row r="245" spans="1:5" x14ac:dyDescent="0.3">
      <c r="A245" s="9">
        <v>44287</v>
      </c>
      <c r="B245" s="5">
        <v>44312</v>
      </c>
      <c r="C245" s="6">
        <v>0.54166666666666663</v>
      </c>
      <c r="D245" s="7" t="str">
        <f>IF(
 AND(
  B245 &gt;= IF(
         YEAR(B245)&gt;=2007,
         DATE(YEAR(B245),3,14)-WEEKDAY(DATE(YEAR(B245),3,14),1)+1 + TIME(2,0,0),
         DATE(YEAR(B245),4,7)-WEEKDAY(DATE(YEAR(B245),4,7),1)+1 + TIME(2,0,0)
       ),
  B245 &lt;  IF(
         YEAR(B245)&gt;=2007,
         DATE(YEAR(B245),11,7)-WEEKDAY(DATE(YEAR(B245),11,7),1)+1 + TIME(2,0,0),
         DATE(YEAR(B245),10,31)-WEEKDAY(DATE(YEAR(B245),10,31),1) + TIME(2,0,0)
       )
 ),
 "UTC-4",
 "UTC-5"
)</f>
        <v>UTC-4</v>
      </c>
      <c r="E245" s="12">
        <v>8.4899999999999993E-3</v>
      </c>
    </row>
    <row r="246" spans="1:5" x14ac:dyDescent="0.3">
      <c r="A246" s="9">
        <v>44317</v>
      </c>
      <c r="B246" s="5">
        <v>44342</v>
      </c>
      <c r="C246" s="6">
        <v>0.54166666666666663</v>
      </c>
      <c r="D246" s="7" t="str">
        <f>IF(
 AND(
  B246 &gt;= IF(
         YEAR(B246)&gt;=2007,
         DATE(YEAR(B246),3,14)-WEEKDAY(DATE(YEAR(B246),3,14),1)+1 + TIME(2,0,0),
         DATE(YEAR(B246),4,7)-WEEKDAY(DATE(YEAR(B246),4,7),1)+1 + TIME(2,0,0)
       ),
  B246 &lt;  IF(
         YEAR(B246)&gt;=2007,
         DATE(YEAR(B246),11,7)-WEEKDAY(DATE(YEAR(B246),11,7),1)+1 + TIME(2,0,0),
         DATE(YEAR(B246),10,31)-WEEKDAY(DATE(YEAR(B246),10,31),1) + TIME(2,0,0)
       )
 ),
 "UTC-4",
 "UTC-5"
)</f>
        <v>UTC-4</v>
      </c>
      <c r="E246" s="12">
        <v>7.8799999999999999E-3</v>
      </c>
    </row>
    <row r="247" spans="1:5" x14ac:dyDescent="0.3">
      <c r="A247" s="9">
        <v>44348</v>
      </c>
      <c r="B247" s="5">
        <v>44370</v>
      </c>
      <c r="C247" s="6">
        <v>0.54166666666666663</v>
      </c>
      <c r="D247" s="7" t="str">
        <f>IF(
 AND(
  B247 &gt;= IF(
         YEAR(B247)&gt;=2007,
         DATE(YEAR(B247),3,14)-WEEKDAY(DATE(YEAR(B247),3,14),1)+1 + TIME(2,0,0),
         DATE(YEAR(B247),4,7)-WEEKDAY(DATE(YEAR(B247),4,7),1)+1 + TIME(2,0,0)
       ),
  B247 &lt;  IF(
         YEAR(B247)&gt;=2007,
         DATE(YEAR(B247),11,7)-WEEKDAY(DATE(YEAR(B247),11,7),1)+1 + TIME(2,0,0),
         DATE(YEAR(B247),10,31)-WEEKDAY(DATE(YEAR(B247),10,31),1) + TIME(2,0,0)
       )
 ),
 "UTC-4",
 "UTC-5"
)</f>
        <v>UTC-4</v>
      </c>
      <c r="E247" s="12">
        <v>9.0399999999999994E-3</v>
      </c>
    </row>
    <row r="248" spans="1:5" x14ac:dyDescent="0.3">
      <c r="A248" s="9">
        <v>44378</v>
      </c>
      <c r="B248" s="5">
        <v>44404</v>
      </c>
      <c r="C248" s="6">
        <v>0.54166666666666663</v>
      </c>
      <c r="D248" s="7" t="str">
        <f>IF(
 AND(
  B248 &gt;= IF(
         YEAR(B248)&gt;=2007,
         DATE(YEAR(B248),3,14)-WEEKDAY(DATE(YEAR(B248),3,14),1)+1 + TIME(2,0,0),
         DATE(YEAR(B248),4,7)-WEEKDAY(DATE(YEAR(B248),4,7),1)+1 + TIME(2,0,0)
       ),
  B248 &lt;  IF(
         YEAR(B248)&gt;=2007,
         DATE(YEAR(B248),11,7)-WEEKDAY(DATE(YEAR(B248),11,7),1)+1 + TIME(2,0,0),
         DATE(YEAR(B248),10,31)-WEEKDAY(DATE(YEAR(B248),10,31),1) + TIME(2,0,0)
       )
 ),
 "UTC-4",
 "UTC-5"
)</f>
        <v>UTC-4</v>
      </c>
      <c r="E248" s="12">
        <v>7.1000000000000004E-3</v>
      </c>
    </row>
    <row r="249" spans="1:5" x14ac:dyDescent="0.3">
      <c r="A249" s="9">
        <v>44409</v>
      </c>
      <c r="B249" s="5">
        <v>44433</v>
      </c>
      <c r="C249" s="6">
        <v>0.54166666666666663</v>
      </c>
      <c r="D249" s="7" t="str">
        <f>IF(
 AND(
  B249 &gt;= IF(
         YEAR(B249)&gt;=2007,
         DATE(YEAR(B249),3,14)-WEEKDAY(DATE(YEAR(B249),3,14),1)+1 + TIME(2,0,0),
         DATE(YEAR(B249),4,7)-WEEKDAY(DATE(YEAR(B249),4,7),1)+1 + TIME(2,0,0)
       ),
  B249 &lt;  IF(
         YEAR(B249)&gt;=2007,
         DATE(YEAR(B249),11,7)-WEEKDAY(DATE(YEAR(B249),11,7),1)+1 + TIME(2,0,0),
         DATE(YEAR(B249),10,31)-WEEKDAY(DATE(YEAR(B249),10,31),1) + TIME(2,0,0)
       )
 ),
 "UTC-4",
 "UTC-5"
)</f>
        <v>UTC-4</v>
      </c>
      <c r="E249" s="12">
        <v>8.3099999999999997E-3</v>
      </c>
    </row>
    <row r="250" spans="1:5" x14ac:dyDescent="0.3">
      <c r="A250" s="9">
        <v>44440</v>
      </c>
      <c r="B250" s="5">
        <v>44466</v>
      </c>
      <c r="C250" s="6">
        <v>0.54166666666666663</v>
      </c>
      <c r="D250" s="7" t="str">
        <f>IF(
 AND(
  B250 &gt;= IF(
         YEAR(B250)&gt;=2007,
         DATE(YEAR(B250),3,14)-WEEKDAY(DATE(YEAR(B250),3,14),1)+1 + TIME(2,0,0),
         DATE(YEAR(B250),4,7)-WEEKDAY(DATE(YEAR(B250),4,7),1)+1 + TIME(2,0,0)
       ),
  B250 &lt;  IF(
         YEAR(B250)&gt;=2007,
         DATE(YEAR(B250),11,7)-WEEKDAY(DATE(YEAR(B250),11,7),1)+1 + TIME(2,0,0),
         DATE(YEAR(B250),10,31)-WEEKDAY(DATE(YEAR(B250),10,31),1) + TIME(2,0,0)
       )
 ),
 "UTC-4",
 "UTC-5"
)</f>
        <v>UTC-4</v>
      </c>
      <c r="E250" s="12">
        <v>9.9000000000000008E-3</v>
      </c>
    </row>
    <row r="251" spans="1:5" x14ac:dyDescent="0.3">
      <c r="A251" s="9">
        <v>44470</v>
      </c>
      <c r="B251" s="5">
        <v>44496</v>
      </c>
      <c r="C251" s="6">
        <v>0.54166666666666663</v>
      </c>
      <c r="D251" s="7" t="str">
        <f>IF(
 AND(
  B251 &gt;= IF(
         YEAR(B251)&gt;=2007,
         DATE(YEAR(B251),3,14)-WEEKDAY(DATE(YEAR(B251),3,14),1)+1 + TIME(2,0,0),
         DATE(YEAR(B251),4,7)-WEEKDAY(DATE(YEAR(B251),4,7),1)+1 + TIME(2,0,0)
       ),
  B251 &lt;  IF(
         YEAR(B251)&gt;=2007,
         DATE(YEAR(B251),11,7)-WEEKDAY(DATE(YEAR(B251),11,7),1)+1 + TIME(2,0,0),
         DATE(YEAR(B251),10,31)-WEEKDAY(DATE(YEAR(B251),10,31),1) + TIME(2,0,0)
       )
 ),
 "UTC-4",
 "UTC-5"
)</f>
        <v>UTC-4</v>
      </c>
      <c r="E251" s="12">
        <v>1.157E-2</v>
      </c>
    </row>
    <row r="252" spans="1:5" x14ac:dyDescent="0.3">
      <c r="A252" s="9">
        <v>44501</v>
      </c>
      <c r="B252" s="5">
        <v>44522</v>
      </c>
      <c r="C252" s="6">
        <v>0.54166666666666663</v>
      </c>
      <c r="D252" s="7" t="str">
        <f>IF(
 AND(
  B252 &gt;= IF(
         YEAR(B252)&gt;=2007,
         DATE(YEAR(B252),3,14)-WEEKDAY(DATE(YEAR(B252),3,14),1)+1 + TIME(2,0,0),
         DATE(YEAR(B252),4,7)-WEEKDAY(DATE(YEAR(B252),4,7),1)+1 + TIME(2,0,0)
       ),
  B252 &lt;  IF(
         YEAR(B252)&gt;=2007,
         DATE(YEAR(B252),11,7)-WEEKDAY(DATE(YEAR(B252),11,7),1)+1 + TIME(2,0,0),
         DATE(YEAR(B252),10,31)-WEEKDAY(DATE(YEAR(B252),10,31),1) + TIME(2,0,0)
       )
 ),
 "UTC-4",
 "UTC-5"
)</f>
        <v>UTC-5</v>
      </c>
      <c r="E252" s="12">
        <v>1.319E-2</v>
      </c>
    </row>
    <row r="253" spans="1:5" x14ac:dyDescent="0.3">
      <c r="A253" s="9">
        <v>44531</v>
      </c>
      <c r="B253" s="5">
        <v>44558</v>
      </c>
      <c r="C253" s="6">
        <v>0.54166666666666663</v>
      </c>
      <c r="D253" s="7" t="str">
        <f>IF(
 AND(
  B253 &gt;= IF(
         YEAR(B253)&gt;=2007,
         DATE(YEAR(B253),3,14)-WEEKDAY(DATE(YEAR(B253),3,14),1)+1 + TIME(2,0,0),
         DATE(YEAR(B253),4,7)-WEEKDAY(DATE(YEAR(B253),4,7),1)+1 + TIME(2,0,0)
       ),
  B253 &lt;  IF(
         YEAR(B253)&gt;=2007,
         DATE(YEAR(B253),11,7)-WEEKDAY(DATE(YEAR(B253),11,7),1)+1 + TIME(2,0,0),
         DATE(YEAR(B253),10,31)-WEEKDAY(DATE(YEAR(B253),10,31),1) + TIME(2,0,0)
       )
 ),
 "UTC-4",
 "UTC-5"
)</f>
        <v>UTC-5</v>
      </c>
      <c r="E253" s="12">
        <v>1.2630000000000001E-2</v>
      </c>
    </row>
    <row r="254" spans="1:5" x14ac:dyDescent="0.3">
      <c r="A254" s="9">
        <v>44562</v>
      </c>
      <c r="B254" s="5">
        <v>44586</v>
      </c>
      <c r="C254" s="6">
        <v>0.54166666666666663</v>
      </c>
      <c r="D254" s="7" t="str">
        <f>IF(
 AND(
  B254 &gt;= IF(
         YEAR(B254)&gt;=2007,
         DATE(YEAR(B254),3,14)-WEEKDAY(DATE(YEAR(B254),3,14),1)+1 + TIME(2,0,0),
         DATE(YEAR(B254),4,7)-WEEKDAY(DATE(YEAR(B254),4,7),1)+1 + TIME(2,0,0)
       ),
  B254 &lt;  IF(
         YEAR(B254)&gt;=2007,
         DATE(YEAR(B254),11,7)-WEEKDAY(DATE(YEAR(B254),11,7),1)+1 + TIME(2,0,0),
         DATE(YEAR(B254),10,31)-WEEKDAY(DATE(YEAR(B254),10,31),1) + TIME(2,0,0)
       )
 ),
 "UTC-4",
 "UTC-5"
)</f>
        <v>UTC-5</v>
      </c>
      <c r="E254" s="12">
        <v>1.533E-2</v>
      </c>
    </row>
    <row r="255" spans="1:5" x14ac:dyDescent="0.3">
      <c r="A255" s="9">
        <v>44593</v>
      </c>
      <c r="B255" s="5">
        <v>44615</v>
      </c>
      <c r="C255" s="6">
        <v>0.54166666666666663</v>
      </c>
      <c r="D255" s="7" t="str">
        <f>IF(
 AND(
  B255 &gt;= IF(
         YEAR(B255)&gt;=2007,
         DATE(YEAR(B255),3,14)-WEEKDAY(DATE(YEAR(B255),3,14),1)+1 + TIME(2,0,0),
         DATE(YEAR(B255),4,7)-WEEKDAY(DATE(YEAR(B255),4,7),1)+1 + TIME(2,0,0)
       ),
  B255 &lt;  IF(
         YEAR(B255)&gt;=2007,
         DATE(YEAR(B255),11,7)-WEEKDAY(DATE(YEAR(B255),11,7),1)+1 + TIME(2,0,0),
         DATE(YEAR(B255),10,31)-WEEKDAY(DATE(YEAR(B255),10,31),1) + TIME(2,0,0)
       )
 ),
 "UTC-4",
 "UTC-5"
)</f>
        <v>UTC-5</v>
      </c>
      <c r="E255" s="12">
        <v>1.8800000000000001E-2</v>
      </c>
    </row>
    <row r="256" spans="1:5" x14ac:dyDescent="0.3">
      <c r="A256" s="9">
        <v>44621</v>
      </c>
      <c r="B256" s="5">
        <v>44648</v>
      </c>
      <c r="C256" s="6">
        <v>0.54166666666666663</v>
      </c>
      <c r="D256" s="7" t="str">
        <f>IF(
 AND(
  B256 &gt;= IF(
         YEAR(B256)&gt;=2007,
         DATE(YEAR(B256),3,14)-WEEKDAY(DATE(YEAR(B256),3,14),1)+1 + TIME(2,0,0),
         DATE(YEAR(B256),4,7)-WEEKDAY(DATE(YEAR(B256),4,7),1)+1 + TIME(2,0,0)
       ),
  B256 &lt;  IF(
         YEAR(B256)&gt;=2007,
         DATE(YEAR(B256),11,7)-WEEKDAY(DATE(YEAR(B256),11,7),1)+1 + TIME(2,0,0),
         DATE(YEAR(B256),10,31)-WEEKDAY(DATE(YEAR(B256),10,31),1) + TIME(2,0,0)
       )
 ),
 "UTC-4",
 "UTC-5"
)</f>
        <v>UTC-4</v>
      </c>
      <c r="E256" s="12">
        <v>2.5430000000000001E-2</v>
      </c>
    </row>
    <row r="257" spans="1:5" x14ac:dyDescent="0.3">
      <c r="A257" s="9">
        <v>44652</v>
      </c>
      <c r="B257" s="5">
        <v>44678</v>
      </c>
      <c r="C257" s="6">
        <v>0.54166666666666663</v>
      </c>
      <c r="D257" s="7" t="str">
        <f>IF(
 AND(
  B257 &gt;= IF(
         YEAR(B257)&gt;=2007,
         DATE(YEAR(B257),3,14)-WEEKDAY(DATE(YEAR(B257),3,14),1)+1 + TIME(2,0,0),
         DATE(YEAR(B257),4,7)-WEEKDAY(DATE(YEAR(B257),4,7),1)+1 + TIME(2,0,0)
       ),
  B257 &lt;  IF(
         YEAR(B257)&gt;=2007,
         DATE(YEAR(B257),11,7)-WEEKDAY(DATE(YEAR(B257),11,7),1)+1 + TIME(2,0,0),
         DATE(YEAR(B257),10,31)-WEEKDAY(DATE(YEAR(B257),10,31),1) + TIME(2,0,0)
       )
 ),
 "UTC-4",
 "UTC-5"
)</f>
        <v>UTC-4</v>
      </c>
      <c r="E257" s="12">
        <v>3.0949999999999998E-2</v>
      </c>
    </row>
    <row r="258" spans="1:5" x14ac:dyDescent="0.3">
      <c r="A258" s="9">
        <v>44682</v>
      </c>
      <c r="B258" s="5">
        <v>44706</v>
      </c>
      <c r="C258" s="6">
        <v>0.54166666666666663</v>
      </c>
      <c r="D258" s="7" t="str">
        <f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2">
        <v>2.7359999999999999E-2</v>
      </c>
    </row>
    <row r="259" spans="1:5" x14ac:dyDescent="0.3">
      <c r="A259" s="9">
        <v>44713</v>
      </c>
      <c r="B259" s="5">
        <v>44739</v>
      </c>
      <c r="C259" s="6">
        <v>0.54166666666666663</v>
      </c>
      <c r="D259" s="7" t="str">
        <f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2">
        <v>3.2710000000000003E-2</v>
      </c>
    </row>
    <row r="260" spans="1:5" x14ac:dyDescent="0.3">
      <c r="A260" s="9">
        <v>44743</v>
      </c>
      <c r="B260" s="5">
        <v>44768</v>
      </c>
      <c r="C260" s="6">
        <v>0.54166666666666663</v>
      </c>
      <c r="D260" s="7" t="str">
        <f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2">
        <v>2.86E-2</v>
      </c>
    </row>
    <row r="261" spans="1:5" x14ac:dyDescent="0.3">
      <c r="A261" s="9">
        <v>44774</v>
      </c>
      <c r="B261" s="5">
        <v>44797</v>
      </c>
      <c r="C261" s="6">
        <v>0.54166666666666663</v>
      </c>
      <c r="D261" s="7" t="str">
        <f>IF(
 AND(
  B261 &gt;= IF(
         YEAR(B261)&gt;=2007,
         DATE(YEAR(B261),3,14)-WEEKDAY(DATE(YEAR(B261),3,14),1)+1 + TIME(2,0,0),
         DATE(YEAR(B261),4,7)-WEEKDAY(DATE(YEAR(B261),4,7),1)+1 + TIME(2,0,0)
       ),
  B261 &lt;  IF(
         YEAR(B261)&gt;=2007,
         DATE(YEAR(B261),11,7)-WEEKDAY(DATE(YEAR(B261),11,7),1)+1 + TIME(2,0,0),
         DATE(YEAR(B261),10,31)-WEEKDAY(DATE(YEAR(B261),10,31),1) + TIME(2,0,0)
       )
 ),
 "UTC-4",
 "UTC-5"
)</f>
        <v>UTC-4</v>
      </c>
      <c r="E261" s="12">
        <v>3.2300000000000002E-2</v>
      </c>
    </row>
    <row r="262" spans="1:5" x14ac:dyDescent="0.3">
      <c r="A262" s="9">
        <v>44805</v>
      </c>
      <c r="B262" s="5">
        <v>44831</v>
      </c>
      <c r="C262" s="6">
        <v>0.54166666666666663</v>
      </c>
      <c r="D262" s="7" t="str">
        <f>IF(
 AND(
  B262 &gt;= IF(
         YEAR(B262)&gt;=2007,
         DATE(YEAR(B262),3,14)-WEEKDAY(DATE(YEAR(B262),3,14),1)+1 + TIME(2,0,0),
         DATE(YEAR(B262),4,7)-WEEKDAY(DATE(YEAR(B262),4,7),1)+1 + TIME(2,0,0)
       ),
  B262 &lt;  IF(
         YEAR(B262)&gt;=2007,
         DATE(YEAR(B262),11,7)-WEEKDAY(DATE(YEAR(B262),11,7),1)+1 + TIME(2,0,0),
         DATE(YEAR(B262),10,31)-WEEKDAY(DATE(YEAR(B262),10,31),1) + TIME(2,0,0)
       )
 ),
 "UTC-4",
 "UTC-5"
)</f>
        <v>UTC-4</v>
      </c>
      <c r="E262" s="12">
        <v>4.2279999999999998E-2</v>
      </c>
    </row>
    <row r="263" spans="1:5" x14ac:dyDescent="0.3">
      <c r="A263" s="9">
        <v>44835</v>
      </c>
      <c r="B263" s="5">
        <v>44860</v>
      </c>
      <c r="C263" s="6">
        <v>0.54166666666666663</v>
      </c>
      <c r="D263" s="7" t="str">
        <f>IF(
 AND(
  B263 &gt;= IF(
         YEAR(B263)&gt;=2007,
         DATE(YEAR(B263),3,14)-WEEKDAY(DATE(YEAR(B263),3,14),1)+1 + TIME(2,0,0),
         DATE(YEAR(B263),4,7)-WEEKDAY(DATE(YEAR(B263),4,7),1)+1 + TIME(2,0,0)
       ),
  B263 &lt;  IF(
         YEAR(B263)&gt;=2007,
         DATE(YEAR(B263),11,7)-WEEKDAY(DATE(YEAR(B263),11,7),1)+1 + TIME(2,0,0),
         DATE(YEAR(B263),10,31)-WEEKDAY(DATE(YEAR(B263),10,31),1) + TIME(2,0,0)
       )
 ),
 "UTC-4",
 "UTC-5"
)</f>
        <v>UTC-4</v>
      </c>
      <c r="E263" s="12">
        <v>4.1919999999999999E-2</v>
      </c>
    </row>
    <row r="264" spans="1:5" x14ac:dyDescent="0.3">
      <c r="A264" s="9">
        <v>44866</v>
      </c>
      <c r="B264" s="5">
        <v>44886</v>
      </c>
      <c r="C264" s="6">
        <v>0.54166666666666663</v>
      </c>
      <c r="D264" s="7" t="str">
        <f>IF(
 AND(
  B264 &gt;= IF(
         YEAR(B264)&gt;=2007,
         DATE(YEAR(B264),3,14)-WEEKDAY(DATE(YEAR(B264),3,14),1)+1 + TIME(2,0,0),
         DATE(YEAR(B264),4,7)-WEEKDAY(DATE(YEAR(B264),4,7),1)+1 + TIME(2,0,0)
       ),
  B264 &lt;  IF(
         YEAR(B264)&gt;=2007,
         DATE(YEAR(B264),11,7)-WEEKDAY(DATE(YEAR(B264),11,7),1)+1 + TIME(2,0,0),
         DATE(YEAR(B264),10,31)-WEEKDAY(DATE(YEAR(B264),10,31),1) + TIME(2,0,0)
       )
 ),
 "UTC-4",
 "UTC-5"
)</f>
        <v>UTC-5</v>
      </c>
      <c r="E264" s="12">
        <v>3.9739999999999998E-2</v>
      </c>
    </row>
    <row r="265" spans="1:5" x14ac:dyDescent="0.3">
      <c r="A265" s="9">
        <v>44896</v>
      </c>
      <c r="B265" s="5">
        <v>44923</v>
      </c>
      <c r="C265" s="6">
        <v>0.54166666666666663</v>
      </c>
      <c r="D265" s="7" t="str">
        <f>IF(
 AND(
  B265 &gt;= IF(
         YEAR(B265)&gt;=2007,
         DATE(YEAR(B265),3,14)-WEEKDAY(DATE(YEAR(B265),3,14),1)+1 + TIME(2,0,0),
         DATE(YEAR(B265),4,7)-WEEKDAY(DATE(YEAR(B265),4,7),1)+1 + TIME(2,0,0)
       ),
  B265 &lt;  IF(
         YEAR(B265)&gt;=2007,
         DATE(YEAR(B265),11,7)-WEEKDAY(DATE(YEAR(B265),11,7),1)+1 + TIME(2,0,0),
         DATE(YEAR(B265),10,31)-WEEKDAY(DATE(YEAR(B265),10,31),1) + TIME(2,0,0)
       )
 ),
 "UTC-4",
 "UTC-5"
)</f>
        <v>UTC-5</v>
      </c>
      <c r="E265" s="12">
        <v>3.9730000000000001E-2</v>
      </c>
    </row>
    <row r="266" spans="1:5" x14ac:dyDescent="0.3">
      <c r="A266" s="9">
        <v>44927</v>
      </c>
      <c r="B266" s="5">
        <v>44951</v>
      </c>
      <c r="C266" s="6">
        <v>0.54166666666666663</v>
      </c>
      <c r="D266" s="7" t="str">
        <f>IF(
 AND(
  B266 &gt;= IF(
         YEAR(B266)&gt;=2007,
         DATE(YEAR(B266),3,14)-WEEKDAY(DATE(YEAR(B266),3,14),1)+1 + TIME(2,0,0),
         DATE(YEAR(B266),4,7)-WEEKDAY(DATE(YEAR(B266),4,7),1)+1 + TIME(2,0,0)
       ),
  B266 &lt;  IF(
         YEAR(B266)&gt;=2007,
         DATE(YEAR(B266),11,7)-WEEKDAY(DATE(YEAR(B266),11,7),1)+1 + TIME(2,0,0),
         DATE(YEAR(B266),10,31)-WEEKDAY(DATE(YEAR(B266),10,31),1) + TIME(2,0,0)
       )
 ),
 "UTC-4",
 "UTC-5"
)</f>
        <v>UTC-5</v>
      </c>
      <c r="E266" s="12">
        <v>3.5299999999999998E-2</v>
      </c>
    </row>
    <row r="267" spans="1:5" x14ac:dyDescent="0.3">
      <c r="A267" s="9">
        <v>44958</v>
      </c>
      <c r="B267" s="5">
        <v>44979</v>
      </c>
      <c r="C267" s="6">
        <v>0.54166666666666663</v>
      </c>
      <c r="D267" s="7" t="str">
        <f>IF(
 AND(
  B267 &gt;= IF(
         YEAR(B267)&gt;=2007,
         DATE(YEAR(B267),3,14)-WEEKDAY(DATE(YEAR(B267),3,14),1)+1 + TIME(2,0,0),
         DATE(YEAR(B267),4,7)-WEEKDAY(DATE(YEAR(B267),4,7),1)+1 + TIME(2,0,0)
       ),
  B267 &lt;  IF(
         YEAR(B267)&gt;=2007,
         DATE(YEAR(B267),11,7)-WEEKDAY(DATE(YEAR(B267),11,7),1)+1 + TIME(2,0,0),
         DATE(YEAR(B267),10,31)-WEEKDAY(DATE(YEAR(B267),10,31),1) + TIME(2,0,0)
       )
 ),
 "UTC-4",
 "UTC-5"
)</f>
        <v>UTC-5</v>
      </c>
      <c r="E267" s="12">
        <v>4.1090000000000002E-2</v>
      </c>
    </row>
    <row r="268" spans="1:5" x14ac:dyDescent="0.3">
      <c r="A268" s="9">
        <v>44986</v>
      </c>
      <c r="B268" s="5">
        <v>45013</v>
      </c>
      <c r="C268" s="6">
        <v>0.54166666666666663</v>
      </c>
      <c r="D268" s="7" t="str">
        <f>IF(
 AND(
  B268 &gt;= IF(
         YEAR(B268)&gt;=2007,
         DATE(YEAR(B268),3,14)-WEEKDAY(DATE(YEAR(B268),3,14),1)+1 + TIME(2,0,0),
         DATE(YEAR(B268),4,7)-WEEKDAY(DATE(YEAR(B268),4,7),1)+1 + TIME(2,0,0)
       ),
  B268 &lt;  IF(
         YEAR(B268)&gt;=2007,
         DATE(YEAR(B268),11,7)-WEEKDAY(DATE(YEAR(B268),11,7),1)+1 + TIME(2,0,0),
         DATE(YEAR(B268),10,31)-WEEKDAY(DATE(YEAR(B268),10,31),1) + TIME(2,0,0)
       )
 ),
 "UTC-4",
 "UTC-5"
)</f>
        <v>UTC-4</v>
      </c>
      <c r="E268" s="12">
        <v>3.6650000000000002E-2</v>
      </c>
    </row>
    <row r="269" spans="1:5" x14ac:dyDescent="0.3">
      <c r="A269" s="9">
        <v>45017</v>
      </c>
      <c r="B269" s="5">
        <v>45042</v>
      </c>
      <c r="C269" s="6">
        <v>0.54166666666666663</v>
      </c>
      <c r="D269" s="7" t="str">
        <f>IF(
 AND(
  B269 &gt;= IF(
         YEAR(B269)&gt;=2007,
         DATE(YEAR(B269),3,14)-WEEKDAY(DATE(YEAR(B269),3,14),1)+1 + TIME(2,0,0),
         DATE(YEAR(B269),4,7)-WEEKDAY(DATE(YEAR(B269),4,7),1)+1 + TIME(2,0,0)
       ),
  B269 &lt;  IF(
         YEAR(B269)&gt;=2007,
         DATE(YEAR(B269),11,7)-WEEKDAY(DATE(YEAR(B269),11,7),1)+1 + TIME(2,0,0),
         DATE(YEAR(B269),10,31)-WEEKDAY(DATE(YEAR(B269),10,31),1) + TIME(2,0,0)
       )
 ),
 "UTC-4",
 "UTC-5"
)</f>
        <v>UTC-4</v>
      </c>
      <c r="E269" s="12">
        <v>3.5000000000000003E-2</v>
      </c>
    </row>
    <row r="270" spans="1:5" x14ac:dyDescent="0.3">
      <c r="A270" s="9">
        <v>45047</v>
      </c>
      <c r="B270" s="5">
        <v>45070</v>
      </c>
      <c r="C270" s="6">
        <v>0.54166666666666663</v>
      </c>
      <c r="D270" s="7" t="str">
        <f>IF(
 AND(
  B270 &gt;= IF(
         YEAR(B270)&gt;=2007,
         DATE(YEAR(B270),3,14)-WEEKDAY(DATE(YEAR(B270),3,14),1)+1 + TIME(2,0,0),
         DATE(YEAR(B270),4,7)-WEEKDAY(DATE(YEAR(B270),4,7),1)+1 + TIME(2,0,0)
       ),
  B270 &lt;  IF(
         YEAR(B270)&gt;=2007,
         DATE(YEAR(B270),11,7)-WEEKDAY(DATE(YEAR(B270),11,7),1)+1 + TIME(2,0,0),
         DATE(YEAR(B270),10,31)-WEEKDAY(DATE(YEAR(B270),10,31),1) + TIME(2,0,0)
       )
 ),
 "UTC-4",
 "UTC-5"
)</f>
        <v>UTC-4</v>
      </c>
      <c r="E270" s="12">
        <v>3.7490000000000002E-2</v>
      </c>
    </row>
    <row r="271" spans="1:5" x14ac:dyDescent="0.3">
      <c r="A271" s="9">
        <v>45078</v>
      </c>
      <c r="B271" s="5">
        <v>45104</v>
      </c>
      <c r="C271" s="6">
        <v>0.54166666666666663</v>
      </c>
      <c r="D271" s="7" t="str">
        <f>IF(
 AND(
  B271 &gt;= IF(
         YEAR(B271)&gt;=2007,
         DATE(YEAR(B271),3,14)-WEEKDAY(DATE(YEAR(B271),3,14),1)+1 + TIME(2,0,0),
         DATE(YEAR(B271),4,7)-WEEKDAY(DATE(YEAR(B271),4,7),1)+1 + TIME(2,0,0)
       ),
  B271 &lt;  IF(
         YEAR(B271)&gt;=2007,
         DATE(YEAR(B271),11,7)-WEEKDAY(DATE(YEAR(B271),11,7),1)+1 + TIME(2,0,0),
         DATE(YEAR(B271),10,31)-WEEKDAY(DATE(YEAR(B271),10,31),1) + TIME(2,0,0)
       )
 ),
 "UTC-4",
 "UTC-5"
)</f>
        <v>UTC-4</v>
      </c>
      <c r="E271" s="12">
        <v>4.0189999999999997E-2</v>
      </c>
    </row>
    <row r="272" spans="1:5" x14ac:dyDescent="0.3">
      <c r="A272" s="9">
        <v>45108</v>
      </c>
      <c r="B272" s="5">
        <v>45132</v>
      </c>
      <c r="C272" s="6">
        <v>0.54166666666666663</v>
      </c>
      <c r="D272" s="7" t="str">
        <f>IF(
 AND(
  B272 &gt;= IF(
         YEAR(B272)&gt;=2007,
         DATE(YEAR(B272),3,14)-WEEKDAY(DATE(YEAR(B272),3,14),1)+1 + TIME(2,0,0),
         DATE(YEAR(B272),4,7)-WEEKDAY(DATE(YEAR(B272),4,7),1)+1 + TIME(2,0,0)
       ),
  B272 &lt;  IF(
         YEAR(B272)&gt;=2007,
         DATE(YEAR(B272),11,7)-WEEKDAY(DATE(YEAR(B272),11,7),1)+1 + TIME(2,0,0),
         DATE(YEAR(B272),10,31)-WEEKDAY(DATE(YEAR(B272),10,31),1) + TIME(2,0,0)
       )
 ),
 "UTC-4",
 "UTC-5"
)</f>
        <v>UTC-4</v>
      </c>
      <c r="E272" s="12">
        <v>4.1700000000000001E-2</v>
      </c>
    </row>
    <row r="273" spans="1:5" x14ac:dyDescent="0.3">
      <c r="A273" s="9">
        <v>45139</v>
      </c>
      <c r="B273" s="5">
        <v>45166</v>
      </c>
      <c r="C273" s="6">
        <v>0.54166666666666663</v>
      </c>
      <c r="D273" s="7" t="str">
        <f>IF(
 AND(
  B273 &gt;= IF(
         YEAR(B273)&gt;=2007,
         DATE(YEAR(B273),3,14)-WEEKDAY(DATE(YEAR(B273),3,14),1)+1 + TIME(2,0,0),
         DATE(YEAR(B273),4,7)-WEEKDAY(DATE(YEAR(B273),4,7),1)+1 + TIME(2,0,0)
       ),
  B273 &lt;  IF(
         YEAR(B273)&gt;=2007,
         DATE(YEAR(B273),11,7)-WEEKDAY(DATE(YEAR(B273),11,7),1)+1 + TIME(2,0,0),
         DATE(YEAR(B273),10,31)-WEEKDAY(DATE(YEAR(B273),10,31),1) + TIME(2,0,0)
       )
 ),
 "UTC-4",
 "UTC-5"
)</f>
        <v>UTC-4</v>
      </c>
      <c r="E273" s="12">
        <v>4.3999999999999997E-2</v>
      </c>
    </row>
    <row r="274" spans="1:5" x14ac:dyDescent="0.3">
      <c r="A274" s="9">
        <v>45170</v>
      </c>
      <c r="B274" s="5">
        <v>45196</v>
      </c>
      <c r="C274" s="6">
        <v>0.54166666666666663</v>
      </c>
      <c r="D274" s="7" t="str">
        <f>IF(
 AND(
  B274 &gt;= IF(
         YEAR(B274)&gt;=2007,
         DATE(YEAR(B274),3,14)-WEEKDAY(DATE(YEAR(B274),3,14),1)+1 + TIME(2,0,0),
         DATE(YEAR(B274),4,7)-WEEKDAY(DATE(YEAR(B274),4,7),1)+1 + TIME(2,0,0)
       ),
  B274 &lt;  IF(
         YEAR(B274)&gt;=2007,
         DATE(YEAR(B274),11,7)-WEEKDAY(DATE(YEAR(B274),11,7),1)+1 + TIME(2,0,0),
         DATE(YEAR(B274),10,31)-WEEKDAY(DATE(YEAR(B274),10,31),1) + TIME(2,0,0)
       )
 ),
 "UTC-4",
 "UTC-5"
)</f>
        <v>UTC-4</v>
      </c>
      <c r="E274" s="12">
        <v>4.6589999999999999E-2</v>
      </c>
    </row>
    <row r="275" spans="1:5" x14ac:dyDescent="0.3">
      <c r="A275" s="9">
        <v>45200</v>
      </c>
      <c r="B275" s="5">
        <v>45224</v>
      </c>
      <c r="C275" s="6">
        <v>0.54166666666666663</v>
      </c>
      <c r="D275" s="7" t="str">
        <f>IF(
 AND(
  B275 &gt;= IF(
         YEAR(B275)&gt;=2007,
         DATE(YEAR(B275),3,14)-WEEKDAY(DATE(YEAR(B275),3,14),1)+1 + TIME(2,0,0),
         DATE(YEAR(B275),4,7)-WEEKDAY(DATE(YEAR(B275),4,7),1)+1 + TIME(2,0,0)
       ),
  B275 &lt;  IF(
         YEAR(B275)&gt;=2007,
         DATE(YEAR(B275),11,7)-WEEKDAY(DATE(YEAR(B275),11,7),1)+1 + TIME(2,0,0),
         DATE(YEAR(B275),10,31)-WEEKDAY(DATE(YEAR(B275),10,31),1) + TIME(2,0,0)
       )
 ),
 "UTC-4",
 "UTC-5"
)</f>
        <v>UTC-4</v>
      </c>
      <c r="E275" s="12">
        <v>4.8989999999999999E-2</v>
      </c>
    </row>
    <row r="276" spans="1:5" x14ac:dyDescent="0.3">
      <c r="A276" s="9">
        <v>45231</v>
      </c>
      <c r="B276" s="5">
        <v>45257</v>
      </c>
      <c r="C276" s="6">
        <v>0.54166666666666663</v>
      </c>
      <c r="D276" s="7" t="str">
        <f>IF(
 AND(
  B276 &gt;= IF(
         YEAR(B276)&gt;=2007,
         DATE(YEAR(B276),3,14)-WEEKDAY(DATE(YEAR(B276),3,14),1)+1 + TIME(2,0,0),
         DATE(YEAR(B276),4,7)-WEEKDAY(DATE(YEAR(B276),4,7),1)+1 + TIME(2,0,0)
       ),
  B276 &lt;  IF(
         YEAR(B276)&gt;=2007,
         DATE(YEAR(B276),11,7)-WEEKDAY(DATE(YEAR(B276),11,7),1)+1 + TIME(2,0,0),
         DATE(YEAR(B276),10,31)-WEEKDAY(DATE(YEAR(B276),10,31),1) + TIME(2,0,0)
       )
 ),
 "UTC-4",
 "UTC-5"
)</f>
        <v>UTC-5</v>
      </c>
      <c r="E276" s="12">
        <v>4.4200000000000003E-2</v>
      </c>
    </row>
    <row r="277" spans="1:5" x14ac:dyDescent="0.3">
      <c r="A277" s="9">
        <v>45261</v>
      </c>
      <c r="B277" s="5">
        <v>45287</v>
      </c>
      <c r="C277" s="6">
        <v>0.54166666666666663</v>
      </c>
      <c r="D277" s="7" t="str">
        <f>IF(
 AND(
  B277 &gt;= IF(
         YEAR(B277)&gt;=2007,
         DATE(YEAR(B277),3,14)-WEEKDAY(DATE(YEAR(B277),3,14),1)+1 + TIME(2,0,0),
         DATE(YEAR(B277),4,7)-WEEKDAY(DATE(YEAR(B277),4,7),1)+1 + TIME(2,0,0)
       ),
  B277 &lt;  IF(
         YEAR(B277)&gt;=2007,
         DATE(YEAR(B277),11,7)-WEEKDAY(DATE(YEAR(B277),11,7),1)+1 + TIME(2,0,0),
         DATE(YEAR(B277),10,31)-WEEKDAY(DATE(YEAR(B277),10,31),1) + TIME(2,0,0)
       )
 ),
 "UTC-4",
 "UTC-5"
)</f>
        <v>UTC-5</v>
      </c>
      <c r="E277" s="12">
        <v>3.8010000000000002E-2</v>
      </c>
    </row>
    <row r="278" spans="1:5" x14ac:dyDescent="0.3">
      <c r="A278" s="9">
        <v>45292</v>
      </c>
      <c r="B278" s="5">
        <v>45315</v>
      </c>
      <c r="C278" s="6">
        <v>0.54166666666666663</v>
      </c>
      <c r="D278" s="7" t="str">
        <f>IF(
 AND(
  B278 &gt;= IF(
         YEAR(B278)&gt;=2007,
         DATE(YEAR(B278),3,14)-WEEKDAY(DATE(YEAR(B278),3,14),1)+1 + TIME(2,0,0),
         DATE(YEAR(B278),4,7)-WEEKDAY(DATE(YEAR(B278),4,7),1)+1 + TIME(2,0,0)
       ),
  B278 &lt;  IF(
         YEAR(B278)&gt;=2007,
         DATE(YEAR(B278),11,7)-WEEKDAY(DATE(YEAR(B278),11,7),1)+1 + TIME(2,0,0),
         DATE(YEAR(B278),10,31)-WEEKDAY(DATE(YEAR(B278),10,31),1) + TIME(2,0,0)
       )
 ),
 "UTC-4",
 "UTC-5"
)</f>
        <v>UTC-5</v>
      </c>
      <c r="E278" s="12">
        <v>4.0550000000000003E-2</v>
      </c>
    </row>
    <row r="279" spans="1:5" x14ac:dyDescent="0.3">
      <c r="A279" s="9">
        <v>45323</v>
      </c>
      <c r="B279" s="5">
        <v>45348</v>
      </c>
      <c r="C279" s="6">
        <v>0.54166666666666663</v>
      </c>
      <c r="D279" s="7" t="str">
        <f>IF(
 AND(
  B279 &gt;= IF(
         YEAR(B279)&gt;=2007,
         DATE(YEAR(B279),3,14)-WEEKDAY(DATE(YEAR(B279),3,14),1)+1 + TIME(2,0,0),
         DATE(YEAR(B279),4,7)-WEEKDAY(DATE(YEAR(B279),4,7),1)+1 + TIME(2,0,0)
       ),
  B279 &lt;  IF(
         YEAR(B279)&gt;=2007,
         DATE(YEAR(B279),11,7)-WEEKDAY(DATE(YEAR(B279),11,7),1)+1 + TIME(2,0,0),
         DATE(YEAR(B279),10,31)-WEEKDAY(DATE(YEAR(B279),10,31),1) + TIME(2,0,0)
       )
 ),
 "UTC-4",
 "UTC-5"
)</f>
        <v>UTC-5</v>
      </c>
      <c r="E279" s="12">
        <v>4.3200000000000002E-2</v>
      </c>
    </row>
    <row r="280" spans="1:5" x14ac:dyDescent="0.3">
      <c r="A280" s="9">
        <v>45352</v>
      </c>
      <c r="B280" s="5">
        <v>45377</v>
      </c>
      <c r="C280" s="6">
        <v>0.54166666666666663</v>
      </c>
      <c r="D280" s="7" t="str">
        <f>IF(
 AND(
  B280 &gt;= IF(
         YEAR(B280)&gt;=2007,
         DATE(YEAR(B280),3,14)-WEEKDAY(DATE(YEAR(B280),3,14),1)+1 + TIME(2,0,0),
         DATE(YEAR(B280),4,7)-WEEKDAY(DATE(YEAR(B280),4,7),1)+1 + TIME(2,0,0)
       ),
  B280 &lt;  IF(
         YEAR(B280)&gt;=2007,
         DATE(YEAR(B280),11,7)-WEEKDAY(DATE(YEAR(B280),11,7),1)+1 + TIME(2,0,0),
         DATE(YEAR(B280),10,31)-WEEKDAY(DATE(YEAR(B280),10,31),1) + TIME(2,0,0)
       )
 ),
 "UTC-4",
 "UTC-5"
)</f>
        <v>UTC-4</v>
      </c>
      <c r="E280" s="12">
        <v>4.2349999999999999E-2</v>
      </c>
    </row>
    <row r="281" spans="1:5" x14ac:dyDescent="0.3">
      <c r="A281" s="9">
        <v>45383</v>
      </c>
      <c r="B281" s="5">
        <v>45406</v>
      </c>
      <c r="C281" s="6">
        <v>0.54166666666666663</v>
      </c>
      <c r="D281" s="7" t="str">
        <f>IF(
 AND(
  B281 &gt;= IF(
         YEAR(B281)&gt;=2007,
         DATE(YEAR(B281),3,14)-WEEKDAY(DATE(YEAR(B281),3,14),1)+1 + TIME(2,0,0),
         DATE(YEAR(B281),4,7)-WEEKDAY(DATE(YEAR(B281),4,7),1)+1 + TIME(2,0,0)
       ),
  B281 &lt;  IF(
         YEAR(B281)&gt;=2007,
         DATE(YEAR(B281),11,7)-WEEKDAY(DATE(YEAR(B281),11,7),1)+1 + TIME(2,0,0),
         DATE(YEAR(B281),10,31)-WEEKDAY(DATE(YEAR(B281),10,31),1) + TIME(2,0,0)
       )
 ),
 "UTC-4",
 "UTC-5"
)</f>
        <v>UTC-4</v>
      </c>
      <c r="E281" s="12">
        <v>4.6589999999999999E-2</v>
      </c>
    </row>
    <row r="282" spans="1:5" x14ac:dyDescent="0.3">
      <c r="A282" s="9">
        <v>45413</v>
      </c>
      <c r="B282" s="5">
        <v>45440</v>
      </c>
      <c r="C282" s="6">
        <v>0.54166666666666663</v>
      </c>
      <c r="D282" s="7" t="str">
        <f>IF(
 AND(
  B282 &gt;= IF(
         YEAR(B282)&gt;=2007,
         DATE(YEAR(B282),3,14)-WEEKDAY(DATE(YEAR(B282),3,14),1)+1 + TIME(2,0,0),
         DATE(YEAR(B282),4,7)-WEEKDAY(DATE(YEAR(B282),4,7),1)+1 + TIME(2,0,0)
       ),
  B282 &lt;  IF(
         YEAR(B282)&gt;=2007,
         DATE(YEAR(B282),11,7)-WEEKDAY(DATE(YEAR(B282),11,7),1)+1 + TIME(2,0,0),
         DATE(YEAR(B282),10,31)-WEEKDAY(DATE(YEAR(B282),10,31),1) + TIME(2,0,0)
       )
 ),
 "UTC-4",
 "UTC-5"
)</f>
        <v>UTC-4</v>
      </c>
      <c r="E282" s="12">
        <v>4.5530000000000001E-2</v>
      </c>
    </row>
    <row r="283" spans="1:5" x14ac:dyDescent="0.3">
      <c r="A283" s="9">
        <v>45444</v>
      </c>
      <c r="B283" s="5">
        <v>45469</v>
      </c>
      <c r="C283" s="6">
        <v>0.54166666666666663</v>
      </c>
      <c r="D283" s="7" t="str">
        <f>IF(
 AND(
  B283 &gt;= IF(
         YEAR(B283)&gt;=2007,
         DATE(YEAR(B283),3,14)-WEEKDAY(DATE(YEAR(B283),3,14),1)+1 + TIME(2,0,0),
         DATE(YEAR(B283),4,7)-WEEKDAY(DATE(YEAR(B283),4,7),1)+1 + TIME(2,0,0)
       ),
  B283 &lt;  IF(
         YEAR(B283)&gt;=2007,
         DATE(YEAR(B283),11,7)-WEEKDAY(DATE(YEAR(B283),11,7),1)+1 + TIME(2,0,0),
         DATE(YEAR(B283),10,31)-WEEKDAY(DATE(YEAR(B283),10,31),1) + TIME(2,0,0)
       )
 ),
 "UTC-4",
 "UTC-5"
)</f>
        <v>UTC-4</v>
      </c>
      <c r="E283" s="12">
        <v>4.3310000000000001E-2</v>
      </c>
    </row>
    <row r="284" spans="1:5" x14ac:dyDescent="0.3">
      <c r="A284" s="9">
        <v>45474</v>
      </c>
      <c r="B284" s="5">
        <v>45497</v>
      </c>
      <c r="C284" s="6">
        <v>0.54166666666666663</v>
      </c>
      <c r="D284" s="7" t="str">
        <f>IF(
 AND(
  B284 &gt;= IF(
         YEAR(B284)&gt;=2007,
         DATE(YEAR(B284),3,14)-WEEKDAY(DATE(YEAR(B284),3,14),1)+1 + TIME(2,0,0),
         DATE(YEAR(B284),4,7)-WEEKDAY(DATE(YEAR(B284),4,7),1)+1 + TIME(2,0,0)
       ),
  B284 &lt;  IF(
         YEAR(B284)&gt;=2007,
         DATE(YEAR(B284),11,7)-WEEKDAY(DATE(YEAR(B284),11,7),1)+1 + TIME(2,0,0),
         DATE(YEAR(B284),10,31)-WEEKDAY(DATE(YEAR(B284),10,31),1) + TIME(2,0,0)
       )
 ),
 "UTC-4",
 "UTC-5"
)</f>
        <v>UTC-4</v>
      </c>
      <c r="E284" s="12">
        <v>4.1209999999999997E-2</v>
      </c>
    </row>
    <row r="285" spans="1:5" x14ac:dyDescent="0.3">
      <c r="A285" s="9">
        <v>45505</v>
      </c>
      <c r="B285" s="5">
        <v>45532</v>
      </c>
      <c r="C285" s="6">
        <v>0.54166666666666663</v>
      </c>
      <c r="D285" s="7" t="str">
        <f>IF(
 AND(
  B285 &gt;= IF(
         YEAR(B285)&gt;=2007,
         DATE(YEAR(B285),3,14)-WEEKDAY(DATE(YEAR(B285),3,14),1)+1 + TIME(2,0,0),
         DATE(YEAR(B285),4,7)-WEEKDAY(DATE(YEAR(B285),4,7),1)+1 + TIME(2,0,0)
       ),
  B285 &lt;  IF(
         YEAR(B285)&gt;=2007,
         DATE(YEAR(B285),11,7)-WEEKDAY(DATE(YEAR(B285),11,7),1)+1 + TIME(2,0,0),
         DATE(YEAR(B285),10,31)-WEEKDAY(DATE(YEAR(B285),10,31),1) + TIME(2,0,0)
       )
 ),
 "UTC-4",
 "UTC-5"
)</f>
        <v>UTC-4</v>
      </c>
      <c r="E285" s="12">
        <v>3.6450000000000003E-2</v>
      </c>
    </row>
    <row r="286" spans="1:5" x14ac:dyDescent="0.3">
      <c r="A286" s="9">
        <v>45536</v>
      </c>
      <c r="B286" s="5">
        <v>45560</v>
      </c>
      <c r="C286" s="6">
        <v>0.54166666666666663</v>
      </c>
      <c r="D286" s="7" t="str">
        <f>IF(
 AND(
  B286 &gt;= IF(
         YEAR(B286)&gt;=2007,
         DATE(YEAR(B286),3,14)-WEEKDAY(DATE(YEAR(B286),3,14),1)+1 + TIME(2,0,0),
         DATE(YEAR(B286),4,7)-WEEKDAY(DATE(YEAR(B286),4,7),1)+1 + TIME(2,0,0)
       ),
  B286 &lt;  IF(
         YEAR(B286)&gt;=2007,
         DATE(YEAR(B286),11,7)-WEEKDAY(DATE(YEAR(B286),11,7),1)+1 + TIME(2,0,0),
         DATE(YEAR(B286),10,31)-WEEKDAY(DATE(YEAR(B286),10,31),1) + TIME(2,0,0)
       )
 ),
 "UTC-4",
 "UTC-5"
)</f>
        <v>UTC-4</v>
      </c>
      <c r="E286" s="12">
        <v>3.5189999999999999E-2</v>
      </c>
    </row>
    <row r="287" spans="1:5" x14ac:dyDescent="0.3">
      <c r="A287" s="9">
        <v>45566</v>
      </c>
      <c r="B287" s="5">
        <v>45593</v>
      </c>
      <c r="C287" s="6">
        <v>0.54166666666666663</v>
      </c>
      <c r="D287" s="7" t="str">
        <f>IF(
 AND(
  B287 &gt;= IF(
         YEAR(B287)&gt;=2007,
         DATE(YEAR(B287),3,14)-WEEKDAY(DATE(YEAR(B287),3,14),1)+1 + TIME(2,0,0),
         DATE(YEAR(B287),4,7)-WEEKDAY(DATE(YEAR(B287),4,7),1)+1 + TIME(2,0,0)
       ),
  B287 &lt;  IF(
         YEAR(B287)&gt;=2007,
         DATE(YEAR(B287),11,7)-WEEKDAY(DATE(YEAR(B287),11,7),1)+1 + TIME(2,0,0),
         DATE(YEAR(B287),10,31)-WEEKDAY(DATE(YEAR(B287),10,31),1) + TIME(2,0,0)
       )
 ),
 "UTC-4",
 "UTC-5"
)</f>
        <v>UTC-4</v>
      </c>
      <c r="E287" s="12">
        <v>4.138E-2</v>
      </c>
    </row>
    <row r="288" spans="1:5" x14ac:dyDescent="0.3">
      <c r="A288" s="9">
        <v>45597</v>
      </c>
      <c r="B288" s="5">
        <v>45622</v>
      </c>
      <c r="C288" s="6">
        <v>0.54166666666666663</v>
      </c>
      <c r="D288" s="7" t="str">
        <f>IF(
 AND(
  B288 &gt;= IF(
         YEAR(B288)&gt;=2007,
         DATE(YEAR(B288),3,14)-WEEKDAY(DATE(YEAR(B288),3,14),1)+1 + TIME(2,0,0),
         DATE(YEAR(B288),4,7)-WEEKDAY(DATE(YEAR(B288),4,7),1)+1 + TIME(2,0,0)
       ),
  B288 &lt;  IF(
         YEAR(B288)&gt;=2007,
         DATE(YEAR(B288),11,7)-WEEKDAY(DATE(YEAR(B288),11,7),1)+1 + TIME(2,0,0),
         DATE(YEAR(B288),10,31)-WEEKDAY(DATE(YEAR(B288),10,31),1) + TIME(2,0,0)
       )
 ),
 "UTC-4",
 "UTC-5"
)</f>
        <v>UTC-5</v>
      </c>
      <c r="E288" s="12">
        <v>4.197E-2</v>
      </c>
    </row>
    <row r="289" spans="1:5" x14ac:dyDescent="0.3">
      <c r="A289" s="9">
        <v>45627</v>
      </c>
      <c r="B289" s="5">
        <v>45650</v>
      </c>
      <c r="C289" s="6">
        <v>0.47916666666666669</v>
      </c>
      <c r="D289" s="7" t="str">
        <f>IF(
 AND(
  B289 &gt;= IF(
         YEAR(B289)&gt;=2007,
         DATE(YEAR(B289),3,14)-WEEKDAY(DATE(YEAR(B289),3,14),1)+1 + TIME(2,0,0),
         DATE(YEAR(B289),4,7)-WEEKDAY(DATE(YEAR(B289),4,7),1)+1 + TIME(2,0,0)
       ),
  B289 &lt;  IF(
         YEAR(B289)&gt;=2007,
         DATE(YEAR(B289),11,7)-WEEKDAY(DATE(YEAR(B289),11,7),1)+1 + TIME(2,0,0),
         DATE(YEAR(B289),10,31)-WEEKDAY(DATE(YEAR(B289),10,31),1) + TIME(2,0,0)
       )
 ),
 "UTC-4",
 "UTC-5"
)</f>
        <v>UTC-5</v>
      </c>
      <c r="E289" s="12">
        <v>4.478E-2</v>
      </c>
    </row>
    <row r="290" spans="1:5" x14ac:dyDescent="0.3">
      <c r="A290" s="9">
        <v>45658</v>
      </c>
      <c r="B290" s="5">
        <v>45684</v>
      </c>
      <c r="C290" s="6">
        <v>0.54166666666666663</v>
      </c>
      <c r="D290" s="7" t="str">
        <f>IF(
 AND(
  B290 &gt;= IF(
         YEAR(B290)&gt;=2007,
         DATE(YEAR(B290),3,14)-WEEKDAY(DATE(YEAR(B290),3,14),1)+1 + TIME(2,0,0),
         DATE(YEAR(B290),4,7)-WEEKDAY(DATE(YEAR(B290),4,7),1)+1 + TIME(2,0,0)
       ),
  B290 &lt;  IF(
         YEAR(B290)&gt;=2007,
         DATE(YEAR(B290),11,7)-WEEKDAY(DATE(YEAR(B290),11,7),1)+1 + TIME(2,0,0),
         DATE(YEAR(B290),10,31)-WEEKDAY(DATE(YEAR(B290),10,31),1) + TIME(2,0,0)
       )
 ),
 "UTC-4",
 "UTC-5"
)</f>
        <v>UTC-5</v>
      </c>
      <c r="E290" s="12">
        <v>4.3299999999999998E-2</v>
      </c>
    </row>
    <row r="291" spans="1:5" x14ac:dyDescent="0.3">
      <c r="A291" s="9">
        <v>45689</v>
      </c>
      <c r="B291" s="5">
        <v>45713</v>
      </c>
      <c r="C291" s="6">
        <v>0.54166666666666663</v>
      </c>
      <c r="D291" s="7" t="str">
        <f>IF(
 AND(
  B291 &gt;= IF(
         YEAR(B291)&gt;=2007,
         DATE(YEAR(B291),3,14)-WEEKDAY(DATE(YEAR(B291),3,14),1)+1 + TIME(2,0,0),
         DATE(YEAR(B291),4,7)-WEEKDAY(DATE(YEAR(B291),4,7),1)+1 + TIME(2,0,0)
       ),
  B291 &lt;  IF(
         YEAR(B291)&gt;=2007,
         DATE(YEAR(B291),11,7)-WEEKDAY(DATE(YEAR(B291),11,7),1)+1 + TIME(2,0,0),
         DATE(YEAR(B291),10,31)-WEEKDAY(DATE(YEAR(B291),10,31),1) + TIME(2,0,0)
       )
 ),
 "UTC-4",
 "UTC-5"
)</f>
        <v>UTC-5</v>
      </c>
      <c r="E291" s="12">
        <v>4.1230000000000003E-2</v>
      </c>
    </row>
    <row r="292" spans="1:5" x14ac:dyDescent="0.3">
      <c r="A292" s="9">
        <v>45717</v>
      </c>
      <c r="B292" s="5">
        <v>45742</v>
      </c>
      <c r="C292" s="6">
        <v>0.54166666666666663</v>
      </c>
      <c r="D292" s="7" t="str">
        <f>IF(
 AND(
  B292 &gt;= IF(
         YEAR(B292)&gt;=2007,
         DATE(YEAR(B292),3,14)-WEEKDAY(DATE(YEAR(B292),3,14),1)+1 + TIME(2,0,0),
         DATE(YEAR(B292),4,7)-WEEKDAY(DATE(YEAR(B292),4,7),1)+1 + TIME(2,0,0)
       ),
  B292 &lt;  IF(
         YEAR(B292)&gt;=2007,
         DATE(YEAR(B292),11,7)-WEEKDAY(DATE(YEAR(B292),11,7),1)+1 + TIME(2,0,0),
         DATE(YEAR(B292),10,31)-WEEKDAY(DATE(YEAR(B292),10,31),1) + TIME(2,0,0)
       )
 ),
 "UTC-4",
 "UTC-5"
)</f>
        <v>UTC-4</v>
      </c>
      <c r="E292" s="12">
        <v>4.1000000000000002E-2</v>
      </c>
    </row>
    <row r="293" spans="1:5" x14ac:dyDescent="0.3">
      <c r="A293" s="9">
        <v>45748</v>
      </c>
      <c r="B293" s="5">
        <v>45770</v>
      </c>
      <c r="C293" s="6">
        <v>0.54166666666666663</v>
      </c>
      <c r="D293" s="7" t="str">
        <f>IF(
 AND(
  B293 &gt;= IF(
         YEAR(B293)&gt;=2007,
         DATE(YEAR(B293),3,14)-WEEKDAY(DATE(YEAR(B293),3,14),1)+1 + TIME(2,0,0),
         DATE(YEAR(B293),4,7)-WEEKDAY(DATE(YEAR(B293),4,7),1)+1 + TIME(2,0,0)
       ),
  B293 &lt;  IF(
         YEAR(B293)&gt;=2007,
         DATE(YEAR(B293),11,7)-WEEKDAY(DATE(YEAR(B293),11,7),1)+1 + TIME(2,0,0),
         DATE(YEAR(B293),10,31)-WEEKDAY(DATE(YEAR(B293),10,31),1) + TIME(2,0,0)
       )
 ),
 "UTC-4",
 "UTC-5"
)</f>
        <v>UTC-4</v>
      </c>
      <c r="E293" s="12">
        <v>3.9949999999999999E-2</v>
      </c>
    </row>
    <row r="294" spans="1:5" x14ac:dyDescent="0.3">
      <c r="A294" s="9">
        <v>45778</v>
      </c>
      <c r="B294" s="5">
        <v>45805</v>
      </c>
      <c r="C294" s="6">
        <v>0.54166666666666663</v>
      </c>
      <c r="D294" s="7" t="str">
        <f>IF(
 AND(
  B294 &gt;= IF(
         YEAR(B294)&gt;=2007,
         DATE(YEAR(B294),3,14)-WEEKDAY(DATE(YEAR(B294),3,14),1)+1 + TIME(2,0,0),
         DATE(YEAR(B294),4,7)-WEEKDAY(DATE(YEAR(B294),4,7),1)+1 + TIME(2,0,0)
       ),
  B294 &lt;  IF(
         YEAR(B294)&gt;=2007,
         DATE(YEAR(B294),11,7)-WEEKDAY(DATE(YEAR(B294),11,7),1)+1 + TIME(2,0,0),
         DATE(YEAR(B294),10,31)-WEEKDAY(DATE(YEAR(B294),10,31),1) + TIME(2,0,0)
       )
 ),
 "UTC-4",
 "UTC-5"
)</f>
        <v>UTC-4</v>
      </c>
      <c r="E294" s="12">
        <v>4.0710000000000003E-2</v>
      </c>
    </row>
    <row r="295" spans="1:5" x14ac:dyDescent="0.3">
      <c r="A295" s="9">
        <v>45809</v>
      </c>
      <c r="B295" s="5">
        <v>45833</v>
      </c>
      <c r="C295" s="6">
        <v>0.54166666666666663</v>
      </c>
      <c r="D295" s="7" t="str">
        <f>IF(
 AND(
  B295 &gt;= IF(
         YEAR(B295)&gt;=2007,
         DATE(YEAR(B295),3,14)-WEEKDAY(DATE(YEAR(B295),3,14),1)+1 + TIME(2,0,0),
         DATE(YEAR(B295),4,7)-WEEKDAY(DATE(YEAR(B295),4,7),1)+1 + TIME(2,0,0)
       ),
  B295 &lt;  IF(
         YEAR(B295)&gt;=2007,
         DATE(YEAR(B295),11,7)-WEEKDAY(DATE(YEAR(B295),11,7),1)+1 + TIME(2,0,0),
         DATE(YEAR(B295),10,31)-WEEKDAY(DATE(YEAR(B295),10,31),1) + TIME(2,0,0)
       )
 ),
 "UTC-4",
 "UTC-5"
)</f>
        <v>UTC-4</v>
      </c>
      <c r="E295" s="12">
        <v>3.8789999999999998E-2</v>
      </c>
    </row>
    <row r="296" spans="1:5" x14ac:dyDescent="0.3">
      <c r="A296" s="9">
        <v>45839</v>
      </c>
      <c r="B296" s="5">
        <v>45866</v>
      </c>
      <c r="C296" s="6">
        <v>0.54166666666666663</v>
      </c>
      <c r="D296" s="7" t="str">
        <f>IF(
 AND(
  B296 &gt;= IF(
         YEAR(B296)&gt;=2007,
         DATE(YEAR(B296),3,14)-WEEKDAY(DATE(YEAR(B296),3,14),1)+1 + TIME(2,0,0),
         DATE(YEAR(B296),4,7)-WEEKDAY(DATE(YEAR(B296),4,7),1)+1 + TIME(2,0,0)
       ),
  B296 &lt;  IF(
         YEAR(B296)&gt;=2007,
         DATE(YEAR(B296),11,7)-WEEKDAY(DATE(YEAR(B296),11,7),1)+1 + TIME(2,0,0),
         DATE(YEAR(B296),10,31)-WEEKDAY(DATE(YEAR(B296),10,31),1) + TIME(2,0,0)
       )
 ),
 "UTC-4",
 "UTC-5"
)</f>
        <v>UTC-4</v>
      </c>
      <c r="E296" s="12">
        <v>3.9829999999999997E-2</v>
      </c>
    </row>
    <row r="297" spans="1:5" x14ac:dyDescent="0.3">
      <c r="A297" s="9">
        <v>45870</v>
      </c>
      <c r="B297" s="5">
        <v>45896</v>
      </c>
      <c r="C297" s="6">
        <v>0.54166666666666663</v>
      </c>
      <c r="D297" s="7" t="str">
        <f>IF(
 AND(
  B297 &gt;= IF(
         YEAR(B297)&gt;=2007,
         DATE(YEAR(B297),3,14)-WEEKDAY(DATE(YEAR(B297),3,14),1)+1 + TIME(2,0,0),
         DATE(YEAR(B297),4,7)-WEEKDAY(DATE(YEAR(B297),4,7),1)+1 + TIME(2,0,0)
       ),
  B297 &lt;  IF(
         YEAR(B297)&gt;=2007,
         DATE(YEAR(B297),11,7)-WEEKDAY(DATE(YEAR(B297),11,7),1)+1 + TIME(2,0,0),
         DATE(YEAR(B297),10,31)-WEEKDAY(DATE(YEAR(B297),10,31),1) + TIME(2,0,0)
       )
 ),
 "UTC-4",
 "UTC-5"
)</f>
        <v>UTC-4</v>
      </c>
      <c r="E297" s="12">
        <v>3.7240000000000002E-2</v>
      </c>
    </row>
    <row r="298" spans="1:5" x14ac:dyDescent="0.3">
      <c r="A298" s="9">
        <v>45901</v>
      </c>
      <c r="B298" s="5">
        <v>45924</v>
      </c>
      <c r="C298" s="6">
        <v>0.54166666666666663</v>
      </c>
      <c r="D298" s="7" t="str">
        <f>IF(
 AND(
  B298 &gt;= IF(
         YEAR(B298)&gt;=2007,
         DATE(YEAR(B298),3,14)-WEEKDAY(DATE(YEAR(B298),3,14),1)+1 + TIME(2,0,0),
         DATE(YEAR(B298),4,7)-WEEKDAY(DATE(YEAR(B298),4,7),1)+1 + TIME(2,0,0)
       ),
  B298 &lt;  IF(
         YEAR(B298)&gt;=2007,
         DATE(YEAR(B298),11,7)-WEEKDAY(DATE(YEAR(B298),11,7),1)+1 + TIME(2,0,0),
         DATE(YEAR(B298),10,31)-WEEKDAY(DATE(YEAR(B298),10,31),1) + TIME(2,0,0)
       )
 ),
 "UTC-4",
 "UTC-5"
)</f>
        <v>UTC-4</v>
      </c>
      <c r="E298" s="12">
        <v>3.7100000000000001E-2</v>
      </c>
    </row>
    <row r="299" spans="1:5" x14ac:dyDescent="0.3">
      <c r="A299" s="9">
        <v>45931</v>
      </c>
      <c r="B299" s="5">
        <v>45957</v>
      </c>
      <c r="C299" s="6">
        <v>0.54166666666666663</v>
      </c>
      <c r="D299" s="7" t="str">
        <f>IF(
 AND(
  B299 &gt;= IF(
         YEAR(B299)&gt;=2007,
         DATE(YEAR(B299),3,14)-WEEKDAY(DATE(YEAR(B299),3,14),1)+1 + TIME(2,0,0),
         DATE(YEAR(B299),4,7)-WEEKDAY(DATE(YEAR(B299),4,7),1)+1 + TIME(2,0,0)
       ),
  B299 &lt;  IF(
         YEAR(B299)&gt;=2007,
         DATE(YEAR(B299),11,7)-WEEKDAY(DATE(YEAR(B299),11,7),1)+1 + TIME(2,0,0),
         DATE(YEAR(B299),10,31)-WEEKDAY(DATE(YEAR(B299),10,31),1) + TIME(2,0,0)
       )
 ),
 "UTC-4",
 "UTC-5"
)</f>
        <v>UTC-4</v>
      </c>
      <c r="E299" s="12">
        <v>3.6249999999999998E-2</v>
      </c>
    </row>
    <row r="300" spans="1:5" x14ac:dyDescent="0.3">
      <c r="A300" s="9">
        <v>45962</v>
      </c>
      <c r="B300" s="5">
        <v>45986</v>
      </c>
      <c r="C300" s="6">
        <v>0.54166666666666663</v>
      </c>
      <c r="D300" s="7" t="str">
        <f>IF(
 AND(
  B300 &gt;= IF(
         YEAR(B300)&gt;=2007,
         DATE(YEAR(B300),3,14)-WEEKDAY(DATE(YEAR(B300),3,14),1)+1 + TIME(2,0,0),
         DATE(YEAR(B300),4,7)-WEEKDAY(DATE(YEAR(B300),4,7),1)+1 + TIME(2,0,0)
       ),
  B300 &lt;  IF(
         YEAR(B300)&gt;=2007,
         DATE(YEAR(B300),11,7)-WEEKDAY(DATE(YEAR(B300),11,7),1)+1 + TIME(2,0,0),
         DATE(YEAR(B300),10,31)-WEEKDAY(DATE(YEAR(B300),10,31),1) + TIME(2,0,0)
       )
 ),
 "UTC-4",
 "UTC-5"
)</f>
        <v>UTC-5</v>
      </c>
      <c r="E300" s="12">
        <v>3.5619999999999999E-2</v>
      </c>
    </row>
    <row r="301" spans="1:5" x14ac:dyDescent="0.3">
      <c r="A301" s="9">
        <v>45992</v>
      </c>
      <c r="B301" s="5">
        <v>46014</v>
      </c>
      <c r="C301" s="6">
        <v>0.54166666666666663</v>
      </c>
      <c r="D301" s="7" t="str">
        <f>IF(
 AND(
  B301 &gt;= IF(
         YEAR(B301)&gt;=2007,
         DATE(YEAR(B301),3,14)-WEEKDAY(DATE(YEAR(B301),3,14),1)+1 + TIME(2,0,0),
         DATE(YEAR(B301),4,7)-WEEKDAY(DATE(YEAR(B301),4,7),1)+1 + TIME(2,0,0)
       ),
  B301 &lt;  IF(
         YEAR(B301)&gt;=2007,
         DATE(YEAR(B301),11,7)-WEEKDAY(DATE(YEAR(B301),11,7),1)+1 + TIME(2,0,0),
         DATE(YEAR(B301),10,31)-WEEKDAY(DATE(YEAR(B301),10,31),1) + TIME(2,0,0)
       )
 ),
 "UTC-4",
 "UTC-5"
)</f>
        <v>UTC-5</v>
      </c>
      <c r="E301" s="12">
        <v>3.7470000000000003E-2</v>
      </c>
    </row>
    <row r="302" spans="1:5" x14ac:dyDescent="0.3">
      <c r="A302" s="9">
        <v>46023</v>
      </c>
      <c r="B302" s="5">
        <v>46049</v>
      </c>
      <c r="C302" s="6">
        <v>0.54166666666666663</v>
      </c>
      <c r="D302" s="7" t="str">
        <f>IF(
 AND(
  B302 &gt;= IF(
         YEAR(B302)&gt;=2007,
         DATE(YEAR(B302),3,14)-WEEKDAY(DATE(YEAR(B302),3,14),1)+1 + TIME(2,0,0),
         DATE(YEAR(B302),4,7)-WEEKDAY(DATE(YEAR(B302),4,7),1)+1 + TIME(2,0,0)
       ),
  B302 &lt;  IF(
         YEAR(B302)&gt;=2007,
         DATE(YEAR(B302),11,7)-WEEKDAY(DATE(YEAR(B302),11,7),1)+1 + TIME(2,0,0),
         DATE(YEAR(B302),10,31)-WEEKDAY(DATE(YEAR(B302),10,31),1) + TIME(2,0,0)
       )
 ),
 "UTC-4",
 "UTC-5"
)</f>
        <v>UTC-5</v>
      </c>
      <c r="E302" s="12">
        <v>3.823E-2</v>
      </c>
    </row>
    <row r="303" spans="1:5" x14ac:dyDescent="0.3">
      <c r="A303" s="9">
        <v>46054</v>
      </c>
      <c r="B303" s="5">
        <v>46078</v>
      </c>
      <c r="C303" s="6">
        <v>0.54166666666666663</v>
      </c>
      <c r="D303" s="7" t="str">
        <f>IF(
 AND(
  B303 &gt;= IF(
         YEAR(B303)&gt;=2007,
         DATE(YEAR(B303),3,14)-WEEKDAY(DATE(YEAR(B303),3,14),1)+1 + TIME(2,0,0),
         DATE(YEAR(B303),4,7)-WEEKDAY(DATE(YEAR(B303),4,7),1)+1 + TIME(2,0,0)
       ),
  B303 &lt;  IF(
         YEAR(B303)&gt;=2007,
         DATE(YEAR(B303),11,7)-WEEKDAY(DATE(YEAR(B303),11,7),1)+1 + TIME(2,0,0),
         DATE(YEAR(B303),10,31)-WEEKDAY(DATE(YEAR(B303),10,31),1) + TIME(2,0,0)
       )
 ),
 "UTC-4",
 "UTC-5"
)</f>
        <v>UTC-5</v>
      </c>
      <c r="E303" s="12">
        <v>3.6150000000000002E-2</v>
      </c>
    </row>
    <row r="304" spans="1:5" x14ac:dyDescent="0.3">
      <c r="A304" s="9">
        <v>46082</v>
      </c>
      <c r="B304" s="5">
        <v>46106</v>
      </c>
      <c r="C304" s="6">
        <v>0.54166666666666663</v>
      </c>
      <c r="D304" s="7" t="str">
        <f>IF(
 AND(
  B304 &gt;= IF(
         YEAR(B304)&gt;=2007,
         DATE(YEAR(B304),3,14)-WEEKDAY(DATE(YEAR(B304),3,14),1)+1 + TIME(2,0,0),
         DATE(YEAR(B304),4,7)-WEEKDAY(DATE(YEAR(B304),4,7),1)+1 + TIME(2,0,0)
       ),
  B304 &lt;  IF(
         YEAR(B304)&gt;=2007,
         DATE(YEAR(B304),11,7)-WEEKDAY(DATE(YEAR(B304),11,7),1)+1 + TIME(2,0,0),
         DATE(YEAR(B304),10,31)-WEEKDAY(DATE(YEAR(B304),10,31),1) + TIME(2,0,0)
       )
 ),
 "UTC-4",
 "UTC-5"
)</f>
        <v>UTC-4</v>
      </c>
      <c r="E304" s="12">
        <v>3.9800000000000002E-2</v>
      </c>
    </row>
    <row r="305" spans="1:5" x14ac:dyDescent="0.3">
      <c r="A305" s="9">
        <v>46113</v>
      </c>
      <c r="B305" s="5">
        <v>46139</v>
      </c>
      <c r="C305" s="6">
        <v>0.54166666666666663</v>
      </c>
      <c r="D305" s="7" t="str">
        <f>IF(
 AND(
  B305 &gt;= IF(
         YEAR(B305)&gt;=2007,
         DATE(YEAR(B305),3,14)-WEEKDAY(DATE(YEAR(B305),3,14),1)+1 + TIME(2,0,0),
         DATE(YEAR(B305),4,7)-WEEKDAY(DATE(YEAR(B305),4,7),1)+1 + TIME(2,0,0)
       ),
  B305 &lt;  IF(
         YEAR(B305)&gt;=2007,
         DATE(YEAR(B305),11,7)-WEEKDAY(DATE(YEAR(B305),11,7),1)+1 + TIME(2,0,0),
         DATE(YEAR(B305),10,31)-WEEKDAY(DATE(YEAR(B305),10,31),1) + TIME(2,0,0)
       )
 ),
 "UTC-4",
 "UTC-5"
)</f>
        <v>UTC-4</v>
      </c>
      <c r="E305" s="12">
        <v>3.9550000000000002E-2</v>
      </c>
    </row>
    <row r="306" spans="1:5" x14ac:dyDescent="0.3">
      <c r="A306" s="9">
        <v>46143</v>
      </c>
      <c r="B306" s="5">
        <v>46169</v>
      </c>
      <c r="C306" s="6">
        <v>0.54166666666666663</v>
      </c>
      <c r="D306" s="7" t="str">
        <f>IF(
 AND(
  B306 &gt;= IF(
         YEAR(B306)&gt;=2007,
         DATE(YEAR(B306),3,14)-WEEKDAY(DATE(YEAR(B306),3,14),1)+1 + TIME(2,0,0),
         DATE(YEAR(B306),4,7)-WEEKDAY(DATE(YEAR(B306),4,7),1)+1 + TIME(2,0,0)
       ),
  B306 &lt;  IF(
         YEAR(B306)&gt;=2007,
         DATE(YEAR(B306),11,7)-WEEKDAY(DATE(YEAR(B306),11,7),1)+1 + TIME(2,0,0),
         DATE(YEAR(B306),10,31)-WEEKDAY(DATE(YEAR(B306),10,31),1) + TIME(2,0,0)
       )
 ),
 "UTC-4",
 "UTC-5"
)</f>
        <v>UTC-4</v>
      </c>
      <c r="E306" s="12">
        <v>4.1820000000000003E-2</v>
      </c>
    </row>
    <row r="307" spans="1:5" x14ac:dyDescent="0.3">
      <c r="A307" s="9">
        <v>46174</v>
      </c>
      <c r="B307" s="5">
        <v>46197</v>
      </c>
      <c r="C307" s="6">
        <v>0.54166666666666663</v>
      </c>
      <c r="D307" s="7" t="str">
        <f>IF(
 AND(
  B307 &gt;= IF(
         YEAR(B307)&gt;=2007,
         DATE(YEAR(B307),3,14)-WEEKDAY(DATE(YEAR(B307),3,14),1)+1 + TIME(2,0,0),
         DATE(YEAR(B307),4,7)-WEEKDAY(DATE(YEAR(B307),4,7),1)+1 + TIME(2,0,0)
       ),
  B307 &lt;  IF(
         YEAR(B307)&gt;=2007,
         DATE(YEAR(B307),11,7)-WEEKDAY(DATE(YEAR(B307),11,7),1)+1 + TIME(2,0,0),
         DATE(YEAR(B307),10,31)-WEEKDAY(DATE(YEAR(B307),10,31),1) + TIME(2,0,0)
       )
 ),
 "UTC-4",
 "UTC-5"
)</f>
        <v>UTC-4</v>
      </c>
      <c r="E307" s="12">
        <v>4.2000000000000003E-2</v>
      </c>
    </row>
    <row r="308" spans="1:5" x14ac:dyDescent="0.3">
      <c r="A308" s="9">
        <v>46204</v>
      </c>
      <c r="B308" s="5">
        <v>46230</v>
      </c>
      <c r="C308" s="6">
        <v>0.54166666666666663</v>
      </c>
      <c r="D308" s="7" t="str">
        <f>IF(
 AND(
  B308 &gt;= IF(
         YEAR(B308)&gt;=2007,
         DATE(YEAR(B308),3,14)-WEEKDAY(DATE(YEAR(B308),3,14),1)+1 + TIME(2,0,0),
         DATE(YEAR(B308),4,7)-WEEKDAY(DATE(YEAR(B308),4,7),1)+1 + TIME(2,0,0)
       ),
  B308 &lt;  IF(
         YEAR(B308)&gt;=2007,
         DATE(YEAR(B308),11,7)-WEEKDAY(DATE(YEAR(B308),11,7),1)+1 + TIME(2,0,0),
         DATE(YEAR(B308),10,31)-WEEKDAY(DATE(YEAR(B308),10,31),1) + TIME(2,0,0)
       )
 ),
 "UTC-4",
 "UTC-5"
)</f>
        <v>UTC-4</v>
      </c>
      <c r="E308" s="12">
        <v>4.4080000000000001E-2</v>
      </c>
    </row>
  </sheetData>
  <sortState xmlns:xlrd2="http://schemas.microsoft.com/office/spreadsheetml/2017/richdata2" ref="F2:F309">
    <sortCondition ref="F2:F30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US3YR</vt:lpstr>
      <vt:lpstr>US5YR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2026-08-11T04:14:35Z</dcterms:created>
  <dcterms:modified xsi:type="dcterms:W3CDTF">2026-08-11T04:40:51Z</dcterms:modified>
</cp:coreProperties>
</file>