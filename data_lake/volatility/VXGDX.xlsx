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eust\PycharmProjects\AlternativeData\data\volatility\"/>
    </mc:Choice>
  </mc:AlternateContent>
  <xr:revisionPtr revIDLastSave="0" documentId="13_ncr:1_{D2E75F0B-4BBE-41CD-9479-720AA63A7989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VXGD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3" i="1" l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<sst xmlns="http://schemas.openxmlformats.org/spreadsheetml/2006/main" count="8" uniqueCount="8">
  <si>
    <t>close</t>
  </si>
  <si>
    <t>high</t>
  </si>
  <si>
    <t>low</t>
  </si>
  <si>
    <t>open</t>
  </si>
  <si>
    <t>Time</t>
  </si>
  <si>
    <t>Time Zone</t>
  </si>
  <si>
    <t>Base Date</t>
  </si>
  <si>
    <t>Release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</si>
</sst>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7" formatCode="yyyy\-mm\-dd;@"/>
    <numFmt numFmtId="168" formatCode="[$-409]h:mm:ss\ AM/PM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3" fontId="0" fillId="0" borderId="0" xfId="1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3"/>
  <sheetViews>
    <sheetView tabSelected="1" workbookViewId="0">
      <pane xSplit="8" ySplit="4" topLeftCell="I123" activePane="bottomRight" state="frozen"/>
      <selection pane="topRight" activeCell="I1" sqref="I1"/>
      <selection pane="bottomLeft" activeCell="A5" sqref="A5"/>
      <selection pane="bottomRight" activeCell="E148" sqref="E148"/>
    </sheetView>
  </sheetViews>
  <sheetFormatPr defaultRowHeight="14.5" x14ac:dyDescent="0.35"/>
  <cols>
    <col min="1" max="1" width="10.08984375" style="3" bestFit="1" customWidth="1"/>
    <col min="2" max="2" width="11.54296875" style="3" bestFit="1" customWidth="1"/>
    <col min="3" max="3" width="10.08984375" style="2" bestFit="1" customWidth="1"/>
    <col min="4" max="4" width="9.453125" style="2" bestFit="1" customWidth="1"/>
    <col min="5" max="8" width="8.7265625" style="1"/>
  </cols>
  <sheetData>
    <row r="1" spans="1:8" x14ac:dyDescent="0.35">
      <c r="A1" s="3" t="s">
        <v>6</v>
      </c>
      <c r="B1" s="3" t="s">
        <v>7</v>
      </c>
      <c r="C1" s="2" t="s">
        <v>4</v>
      </c>
      <c r="D1" s="2" t="s">
        <v>5</v>
      </c>
      <c r="E1" s="1" t="s">
        <v>0</v>
      </c>
      <c r="F1" s="1" t="s">
        <v>1</v>
      </c>
      <c r="G1" s="1" t="s">
        <v>2</v>
      </c>
      <c r="H1" s="1" t="s">
        <v>3</v>
      </c>
    </row>
    <row r="2" spans="1:8" x14ac:dyDescent="0.35">
      <c r="A2" s="3">
        <v>45965</v>
      </c>
      <c r="B2" s="3">
        <v>45965</v>
      </c>
      <c r="C2" s="4">
        <v>0.67708333333333337</v>
      </c>
      <c r="D2" s="3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UTC-5</v>
      </c>
      <c r="E2" s="1">
        <v>39.36</v>
      </c>
      <c r="F2" s="1">
        <v>40.5</v>
      </c>
      <c r="G2" s="1">
        <v>39.03</v>
      </c>
      <c r="H2" s="1">
        <v>40.5</v>
      </c>
    </row>
    <row r="3" spans="1:8" x14ac:dyDescent="0.35">
      <c r="A3" s="3">
        <v>45966</v>
      </c>
      <c r="B3" s="3">
        <v>45966</v>
      </c>
      <c r="C3" s="4">
        <v>0.67708333333333337</v>
      </c>
      <c r="D3" s="3" t="str">
        <f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UTC-5</v>
      </c>
      <c r="E3" s="1">
        <v>38.79</v>
      </c>
      <c r="F3" s="1">
        <v>39.700000000000003</v>
      </c>
      <c r="G3" s="1">
        <v>38.78</v>
      </c>
      <c r="H3" s="1">
        <v>39.43</v>
      </c>
    </row>
    <row r="4" spans="1:8" x14ac:dyDescent="0.35">
      <c r="A4" s="3">
        <v>45967</v>
      </c>
      <c r="B4" s="3">
        <v>45967</v>
      </c>
      <c r="C4" s="4">
        <v>0.67708333333333337</v>
      </c>
      <c r="D4" s="3" t="str">
        <f>IF(
 AND(
  B4 &gt;= IF(
         YEAR(B4)&gt;=2007,
         DATE(YEAR(B4),3,14)-WEEKDAY(DATE(YEAR(B4),3,14),1)+1 + TIME(2,0,0),
         DATE(YEAR(B4),4,7)-WEEKDAY(DATE(YEAR(B4),4,7),1)+1 + TIME(2,0,0)
       ),
  B4 &lt;  IF(
         YEAR(B4)&gt;=2007,
         DATE(YEAR(B4),11,7)-WEEKDAY(DATE(YEAR(B4),11,7),1)+1 + TIME(2,0,0),
         DATE(YEAR(B4),10,31)-WEEKDAY(DATE(YEAR(B4),10,31),1) + TIME(2,0,0)
       )
 ),
 "UTC-4",
 "UTC-5"
)</f>
        <v>UTC-5</v>
      </c>
      <c r="E4" s="1">
        <v>39.479999999999997</v>
      </c>
      <c r="F4" s="1">
        <v>39.49</v>
      </c>
      <c r="G4" s="1">
        <v>38.75</v>
      </c>
      <c r="H4" s="1">
        <v>39.24</v>
      </c>
    </row>
    <row r="5" spans="1:8" x14ac:dyDescent="0.35">
      <c r="A5" s="3">
        <v>45968</v>
      </c>
      <c r="B5" s="3">
        <v>45968</v>
      </c>
      <c r="C5" s="4">
        <v>0.67708333333333337</v>
      </c>
      <c r="D5" s="3" t="str">
        <f>IF(
 AND(
  B5 &gt;= IF(
         YEAR(B5)&gt;=2007,
         DATE(YEAR(B5),3,14)-WEEKDAY(DATE(YEAR(B5),3,14),1)+1 + TIME(2,0,0),
         DATE(YEAR(B5),4,7)-WEEKDAY(DATE(YEAR(B5),4,7),1)+1 + TIME(2,0,0)
       ),
  B5 &lt;  IF(
         YEAR(B5)&gt;=2007,
         DATE(YEAR(B5),11,7)-WEEKDAY(DATE(YEAR(B5),11,7),1)+1 + TIME(2,0,0),
         DATE(YEAR(B5),10,31)-WEEKDAY(DATE(YEAR(B5),10,31),1) + TIME(2,0,0)
       )
 ),
 "UTC-4",
 "UTC-5"
)</f>
        <v>UTC-5</v>
      </c>
      <c r="E5" s="1">
        <v>38.92</v>
      </c>
      <c r="F5" s="1">
        <v>39.69</v>
      </c>
      <c r="G5" s="1">
        <v>38.869999999999997</v>
      </c>
      <c r="H5" s="1">
        <v>39.619999999999997</v>
      </c>
    </row>
    <row r="6" spans="1:8" x14ac:dyDescent="0.35">
      <c r="A6" s="3">
        <v>45971</v>
      </c>
      <c r="B6" s="3">
        <v>45971</v>
      </c>
      <c r="C6" s="4">
        <v>0.67708333333333337</v>
      </c>
      <c r="D6" s="3" t="str">
        <f>IF(
 AND(
  B6 &gt;= IF(
         YEAR(B6)&gt;=2007,
         DATE(YEAR(B6),3,14)-WEEKDAY(DATE(YEAR(B6),3,14),1)+1 + TIME(2,0,0),
         DATE(YEAR(B6),4,7)-WEEKDAY(DATE(YEAR(B6),4,7),1)+1 + TIME(2,0,0)
       ),
  B6 &lt;  IF(
         YEAR(B6)&gt;=2007,
         DATE(YEAR(B6),11,7)-WEEKDAY(DATE(YEAR(B6),11,7),1)+1 + TIME(2,0,0),
         DATE(YEAR(B6),10,31)-WEEKDAY(DATE(YEAR(B6),10,31),1) + TIME(2,0,0)
       )
 ),
 "UTC-4",
 "UTC-5"
)</f>
        <v>UTC-5</v>
      </c>
      <c r="E6" s="1">
        <v>40.86</v>
      </c>
      <c r="F6" s="1">
        <v>40.869999999999997</v>
      </c>
      <c r="G6" s="1">
        <v>40.08</v>
      </c>
      <c r="H6" s="1">
        <v>40.549999999999997</v>
      </c>
    </row>
    <row r="7" spans="1:8" x14ac:dyDescent="0.35">
      <c r="A7" s="3">
        <v>45972</v>
      </c>
      <c r="B7" s="3">
        <v>45972</v>
      </c>
      <c r="C7" s="4">
        <v>0.67708333333333337</v>
      </c>
      <c r="D7" s="3" t="str">
        <f>IF(
 AND(
  B7 &gt;= IF(
         YEAR(B7)&gt;=2007,
         DATE(YEAR(B7),3,14)-WEEKDAY(DATE(YEAR(B7),3,14),1)+1 + TIME(2,0,0),
         DATE(YEAR(B7),4,7)-WEEKDAY(DATE(YEAR(B7),4,7),1)+1 + TIME(2,0,0)
       ),
  B7 &lt;  IF(
         YEAR(B7)&gt;=2007,
         DATE(YEAR(B7),11,7)-WEEKDAY(DATE(YEAR(B7),11,7),1)+1 + TIME(2,0,0),
         DATE(YEAR(B7),10,31)-WEEKDAY(DATE(YEAR(B7),10,31),1) + TIME(2,0,0)
       )
 ),
 "UTC-4",
 "UTC-5"
)</f>
        <v>UTC-5</v>
      </c>
      <c r="E7" s="1">
        <v>41.66</v>
      </c>
      <c r="F7" s="1">
        <v>42.33</v>
      </c>
      <c r="G7" s="1">
        <v>40.159999999999997</v>
      </c>
      <c r="H7" s="1">
        <v>42.33</v>
      </c>
    </row>
    <row r="8" spans="1:8" x14ac:dyDescent="0.35">
      <c r="A8" s="3">
        <v>45973</v>
      </c>
      <c r="B8" s="3">
        <v>45973</v>
      </c>
      <c r="C8" s="4">
        <v>0.67708333333333337</v>
      </c>
      <c r="D8" s="3" t="str">
        <f>IF(
 AND(
  B8 &gt;= IF(
         YEAR(B8)&gt;=2007,
         DATE(YEAR(B8),3,14)-WEEKDAY(DATE(YEAR(B8),3,14),1)+1 + TIME(2,0,0),
         DATE(YEAR(B8),4,7)-WEEKDAY(DATE(YEAR(B8),4,7),1)+1 + TIME(2,0,0)
       ),
  B8 &lt;  IF(
         YEAR(B8)&gt;=2007,
         DATE(YEAR(B8),11,7)-WEEKDAY(DATE(YEAR(B8),11,7),1)+1 + TIME(2,0,0),
         DATE(YEAR(B8),10,31)-WEEKDAY(DATE(YEAR(B8),10,31),1) + TIME(2,0,0)
       )
 ),
 "UTC-4",
 "UTC-5"
)</f>
        <v>UTC-5</v>
      </c>
      <c r="E8" s="1">
        <v>43.35</v>
      </c>
      <c r="F8" s="1">
        <v>43.69</v>
      </c>
      <c r="G8" s="1">
        <v>41.39</v>
      </c>
      <c r="H8" s="1">
        <v>42.65</v>
      </c>
    </row>
    <row r="9" spans="1:8" x14ac:dyDescent="0.35">
      <c r="A9" s="3">
        <v>45974</v>
      </c>
      <c r="B9" s="3">
        <v>45974</v>
      </c>
      <c r="C9" s="4">
        <v>0.67708333333333337</v>
      </c>
      <c r="D9" s="3" t="str">
        <f>IF(
 AND(
  B9 &gt;= IF(
         YEAR(B9)&gt;=2007,
         DATE(YEAR(B9),3,14)-WEEKDAY(DATE(YEAR(B9),3,14),1)+1 + TIME(2,0,0),
         DATE(YEAR(B9),4,7)-WEEKDAY(DATE(YEAR(B9),4,7),1)+1 + TIME(2,0,0)
       ),
  B9 &lt;  IF(
         YEAR(B9)&gt;=2007,
         DATE(YEAR(B9),11,7)-WEEKDAY(DATE(YEAR(B9),11,7),1)+1 + TIME(2,0,0),
         DATE(YEAR(B9),10,31)-WEEKDAY(DATE(YEAR(B9),10,31),1) + TIME(2,0,0)
       )
 ),
 "UTC-4",
 "UTC-5"
)</f>
        <v>UTC-5</v>
      </c>
      <c r="E9" s="1">
        <v>45.11</v>
      </c>
      <c r="F9" s="1">
        <v>45.33</v>
      </c>
      <c r="G9" s="1">
        <v>43.21</v>
      </c>
      <c r="H9" s="1">
        <v>44.52</v>
      </c>
    </row>
    <row r="10" spans="1:8" x14ac:dyDescent="0.35">
      <c r="A10" s="3">
        <v>45975</v>
      </c>
      <c r="B10" s="3">
        <v>45975</v>
      </c>
      <c r="C10" s="4">
        <v>0.67708333333333337</v>
      </c>
      <c r="D10" s="3" t="str">
        <f>IF(
 AND(
  B10 &gt;= IF(
         YEAR(B10)&gt;=2007,
         DATE(YEAR(B10),3,14)-WEEKDAY(DATE(YEAR(B10),3,14),1)+1 + TIME(2,0,0),
         DATE(YEAR(B10),4,7)-WEEKDAY(DATE(YEAR(B10),4,7),1)+1 + TIME(2,0,0)
       ),
  B10 &lt;  IF(
         YEAR(B10)&gt;=2007,
         DATE(YEAR(B10),11,7)-WEEKDAY(DATE(YEAR(B10),11,7),1)+1 + TIME(2,0,0),
         DATE(YEAR(B10),10,31)-WEEKDAY(DATE(YEAR(B10),10,31),1) + TIME(2,0,0)
       )
 ),
 "UTC-4",
 "UTC-5"
)</f>
        <v>UTC-5</v>
      </c>
      <c r="E10" s="1">
        <v>42.95</v>
      </c>
      <c r="F10" s="1">
        <v>45.78</v>
      </c>
      <c r="G10" s="1">
        <v>42.91</v>
      </c>
      <c r="H10" s="1">
        <v>44.99</v>
      </c>
    </row>
    <row r="11" spans="1:8" x14ac:dyDescent="0.35">
      <c r="A11" s="3">
        <v>45978</v>
      </c>
      <c r="B11" s="3">
        <v>45978</v>
      </c>
      <c r="C11" s="4">
        <v>0.67708333333333337</v>
      </c>
      <c r="D11" s="3" t="str">
        <f>IF(
 AND(
  B11 &gt;= IF(
         YEAR(B11)&gt;=2007,
         DATE(YEAR(B11),3,14)-WEEKDAY(DATE(YEAR(B11),3,14),1)+1 + TIME(2,0,0),
         DATE(YEAR(B11),4,7)-WEEKDAY(DATE(YEAR(B11),4,7),1)+1 + TIME(2,0,0)
       ),
  B11 &lt;  IF(
         YEAR(B11)&gt;=2007,
         DATE(YEAR(B11),11,7)-WEEKDAY(DATE(YEAR(B11),11,7),1)+1 + TIME(2,0,0),
         DATE(YEAR(B11),10,31)-WEEKDAY(DATE(YEAR(B11),10,31),1) + TIME(2,0,0)
       )
 ),
 "UTC-4",
 "UTC-5"
)</f>
        <v>UTC-5</v>
      </c>
      <c r="E11" s="1">
        <v>43.35</v>
      </c>
      <c r="F11" s="1">
        <v>46.96</v>
      </c>
      <c r="G11" s="1">
        <v>43.04</v>
      </c>
      <c r="H11" s="1">
        <v>45.02</v>
      </c>
    </row>
    <row r="12" spans="1:8" x14ac:dyDescent="0.35">
      <c r="A12" s="3">
        <v>45979</v>
      </c>
      <c r="B12" s="3">
        <v>45979</v>
      </c>
      <c r="C12" s="4">
        <v>0.67708333333333337</v>
      </c>
      <c r="D12" s="3" t="str">
        <f>IF(
 AND(
  B12 &gt;= IF(
         YEAR(B12)&gt;=2007,
         DATE(YEAR(B12),3,14)-WEEKDAY(DATE(YEAR(B12),3,14),1)+1 + TIME(2,0,0),
         DATE(YEAR(B12),4,7)-WEEKDAY(DATE(YEAR(B12),4,7),1)+1 + TIME(2,0,0)
       ),
  B12 &lt;  IF(
         YEAR(B12)&gt;=2007,
         DATE(YEAR(B12),11,7)-WEEKDAY(DATE(YEAR(B12),11,7),1)+1 + TIME(2,0,0),
         DATE(YEAR(B12),10,31)-WEEKDAY(DATE(YEAR(B12),10,31),1) + TIME(2,0,0)
       )
 ),
 "UTC-4",
 "UTC-5"
)</f>
        <v>UTC-5</v>
      </c>
      <c r="E12" s="1">
        <v>44.61</v>
      </c>
      <c r="F12" s="1">
        <v>45.61</v>
      </c>
      <c r="G12" s="1">
        <v>43.96</v>
      </c>
      <c r="H12" s="1">
        <v>43.96</v>
      </c>
    </row>
    <row r="13" spans="1:8" x14ac:dyDescent="0.35">
      <c r="A13" s="3">
        <v>45980</v>
      </c>
      <c r="B13" s="3">
        <v>45980</v>
      </c>
      <c r="C13" s="4">
        <v>0.67708333333333337</v>
      </c>
      <c r="D13" s="3" t="str">
        <f>IF(
 AND(
  B13 &gt;= IF(
         YEAR(B13)&gt;=2007,
         DATE(YEAR(B13),3,14)-WEEKDAY(DATE(YEAR(B13),3,14),1)+1 + TIME(2,0,0),
         DATE(YEAR(B13),4,7)-WEEKDAY(DATE(YEAR(B13),4,7),1)+1 + TIME(2,0,0)
       ),
  B13 &lt;  IF(
         YEAR(B13)&gt;=2007,
         DATE(YEAR(B13),11,7)-WEEKDAY(DATE(YEAR(B13),11,7),1)+1 + TIME(2,0,0),
         DATE(YEAR(B13),10,31)-WEEKDAY(DATE(YEAR(B13),10,31),1) + TIME(2,0,0)
       )
 ),
 "UTC-4",
 "UTC-5"
)</f>
        <v>UTC-5</v>
      </c>
      <c r="E13" s="1">
        <v>45.42</v>
      </c>
      <c r="F13" s="1">
        <v>47.21</v>
      </c>
      <c r="G13" s="1">
        <v>44.99</v>
      </c>
      <c r="H13" s="1">
        <v>45.93</v>
      </c>
    </row>
    <row r="14" spans="1:8" x14ac:dyDescent="0.35">
      <c r="A14" s="3">
        <v>45981</v>
      </c>
      <c r="B14" s="3">
        <v>45981</v>
      </c>
      <c r="C14" s="4">
        <v>0.67708333333333337</v>
      </c>
      <c r="D14" s="3" t="str">
        <f>IF(
 AND(
  B14 &gt;= IF(
         YEAR(B14)&gt;=2007,
         DATE(YEAR(B14),3,14)-WEEKDAY(DATE(YEAR(B14),3,14),1)+1 + TIME(2,0,0),
         DATE(YEAR(B14),4,7)-WEEKDAY(DATE(YEAR(B14),4,7),1)+1 + TIME(2,0,0)
       ),
  B14 &lt;  IF(
         YEAR(B14)&gt;=2007,
         DATE(YEAR(B14),11,7)-WEEKDAY(DATE(YEAR(B14),11,7),1)+1 + TIME(2,0,0),
         DATE(YEAR(B14),10,31)-WEEKDAY(DATE(YEAR(B14),10,31),1) + TIME(2,0,0)
       )
 ),
 "UTC-4",
 "UTC-5"
)</f>
        <v>UTC-5</v>
      </c>
      <c r="E14" s="1">
        <v>45.41</v>
      </c>
      <c r="F14" s="1">
        <v>47.11</v>
      </c>
      <c r="G14" s="1">
        <v>43.95</v>
      </c>
      <c r="H14" s="1">
        <v>45.99</v>
      </c>
    </row>
    <row r="15" spans="1:8" x14ac:dyDescent="0.35">
      <c r="A15" s="3">
        <v>45982</v>
      </c>
      <c r="B15" s="3">
        <v>45982</v>
      </c>
      <c r="C15" s="4">
        <v>0.67708333333333337</v>
      </c>
      <c r="D15" s="3" t="str">
        <f>IF(
 AND(
  B15 &gt;= IF(
         YEAR(B15)&gt;=2007,
         DATE(YEAR(B15),3,14)-WEEKDAY(DATE(YEAR(B15),3,14),1)+1 + TIME(2,0,0),
         DATE(YEAR(B15),4,7)-WEEKDAY(DATE(YEAR(B15),4,7),1)+1 + TIME(2,0,0)
       ),
  B15 &lt;  IF(
         YEAR(B15)&gt;=2007,
         DATE(YEAR(B15),11,7)-WEEKDAY(DATE(YEAR(B15),11,7),1)+1 + TIME(2,0,0),
         DATE(YEAR(B15),10,31)-WEEKDAY(DATE(YEAR(B15),10,31),1) + TIME(2,0,0)
       )
 ),
 "UTC-4",
 "UTC-5"
)</f>
        <v>UTC-5</v>
      </c>
      <c r="E15" s="1">
        <v>44.1</v>
      </c>
      <c r="F15" s="1">
        <v>46.79</v>
      </c>
      <c r="G15" s="1">
        <v>43.88</v>
      </c>
      <c r="H15" s="1">
        <v>45.67</v>
      </c>
    </row>
    <row r="16" spans="1:8" x14ac:dyDescent="0.35">
      <c r="A16" s="3">
        <v>45985</v>
      </c>
      <c r="B16" s="3">
        <v>45985</v>
      </c>
      <c r="C16" s="4">
        <v>0.67708333333333337</v>
      </c>
      <c r="D16" s="3" t="str">
        <f>IF(
 AND(
  B16 &gt;= IF(
         YEAR(B16)&gt;=2007,
         DATE(YEAR(B16),3,14)-WEEKDAY(DATE(YEAR(B16),3,14),1)+1 + TIME(2,0,0),
         DATE(YEAR(B16),4,7)-WEEKDAY(DATE(YEAR(B16),4,7),1)+1 + TIME(2,0,0)
       ),
  B16 &lt;  IF(
         YEAR(B16)&gt;=2007,
         DATE(YEAR(B16),11,7)-WEEKDAY(DATE(YEAR(B16),11,7),1)+1 + TIME(2,0,0),
         DATE(YEAR(B16),10,31)-WEEKDAY(DATE(YEAR(B16),10,31),1) + TIME(2,0,0)
       )
 ),
 "UTC-4",
 "UTC-5"
)</f>
        <v>UTC-5</v>
      </c>
      <c r="E16" s="1">
        <v>44.94</v>
      </c>
      <c r="F16" s="1">
        <v>45.84</v>
      </c>
      <c r="G16" s="1">
        <v>44.41</v>
      </c>
      <c r="H16" s="1">
        <v>45.67</v>
      </c>
    </row>
    <row r="17" spans="1:8" x14ac:dyDescent="0.35">
      <c r="A17" s="3">
        <v>45986</v>
      </c>
      <c r="B17" s="3">
        <v>45986</v>
      </c>
      <c r="C17" s="4">
        <v>0.67708333333333337</v>
      </c>
      <c r="D17" s="3" t="str">
        <f>IF(
 AND(
  B17 &gt;= IF(
         YEAR(B17)&gt;=2007,
         DATE(YEAR(B17),3,14)-WEEKDAY(DATE(YEAR(B17),3,14),1)+1 + TIME(2,0,0),
         DATE(YEAR(B17),4,7)-WEEKDAY(DATE(YEAR(B17),4,7),1)+1 + TIME(2,0,0)
       ),
  B17 &lt;  IF(
         YEAR(B17)&gt;=2007,
         DATE(YEAR(B17),11,7)-WEEKDAY(DATE(YEAR(B17),11,7),1)+1 + TIME(2,0,0),
         DATE(YEAR(B17),10,31)-WEEKDAY(DATE(YEAR(B17),10,31),1) + TIME(2,0,0)
       )
 ),
 "UTC-4",
 "UTC-5"
)</f>
        <v>UTC-5</v>
      </c>
      <c r="E17" s="1">
        <v>41.84</v>
      </c>
      <c r="F17" s="1">
        <v>44.39</v>
      </c>
      <c r="G17" s="1">
        <v>41.77</v>
      </c>
      <c r="H17" s="1">
        <v>43.88</v>
      </c>
    </row>
    <row r="18" spans="1:8" x14ac:dyDescent="0.35">
      <c r="A18" s="3">
        <v>45987</v>
      </c>
      <c r="B18" s="3">
        <v>45987</v>
      </c>
      <c r="C18" s="4">
        <v>0.67708333333333337</v>
      </c>
      <c r="D18" s="3" t="str">
        <f>IF(
 AND(
  B18 &gt;= IF(
         YEAR(B18)&gt;=2007,
         DATE(YEAR(B18),3,14)-WEEKDAY(DATE(YEAR(B18),3,14),1)+1 + TIME(2,0,0),
         DATE(YEAR(B18),4,7)-WEEKDAY(DATE(YEAR(B18),4,7),1)+1 + TIME(2,0,0)
       ),
  B18 &lt;  IF(
         YEAR(B18)&gt;=2007,
         DATE(YEAR(B18),11,7)-WEEKDAY(DATE(YEAR(B18),11,7),1)+1 + TIME(2,0,0),
         DATE(YEAR(B18),10,31)-WEEKDAY(DATE(YEAR(B18),10,31),1) + TIME(2,0,0)
       )
 ),
 "UTC-4",
 "UTC-5"
)</f>
        <v>UTC-5</v>
      </c>
      <c r="E18" s="1">
        <v>42.24</v>
      </c>
      <c r="F18" s="1">
        <v>42.8</v>
      </c>
      <c r="G18" s="1">
        <v>41.56</v>
      </c>
      <c r="H18" s="1">
        <v>42.31</v>
      </c>
    </row>
    <row r="19" spans="1:8" x14ac:dyDescent="0.35">
      <c r="A19" s="3">
        <v>45989</v>
      </c>
      <c r="B19" s="3">
        <v>45989</v>
      </c>
      <c r="C19" s="4">
        <v>0.67708333333333337</v>
      </c>
      <c r="D19" s="3" t="str">
        <f>IF(
 AND(
  B19 &gt;= IF(
         YEAR(B19)&gt;=2007,
         DATE(YEAR(B19),3,14)-WEEKDAY(DATE(YEAR(B19),3,14),1)+1 + TIME(2,0,0),
         DATE(YEAR(B19),4,7)-WEEKDAY(DATE(YEAR(B19),4,7),1)+1 + TIME(2,0,0)
       ),
  B19 &lt;  IF(
         YEAR(B19)&gt;=2007,
         DATE(YEAR(B19),11,7)-WEEKDAY(DATE(YEAR(B19),11,7),1)+1 + TIME(2,0,0),
         DATE(YEAR(B19),10,31)-WEEKDAY(DATE(YEAR(B19),10,31),1) + TIME(2,0,0)
       )
 ),
 "UTC-4",
 "UTC-5"
)</f>
        <v>UTC-5</v>
      </c>
      <c r="E19" s="1">
        <v>42.51</v>
      </c>
      <c r="F19" s="1">
        <v>43.45</v>
      </c>
      <c r="G19" s="1">
        <v>42.04</v>
      </c>
      <c r="H19" s="1">
        <v>43.45</v>
      </c>
    </row>
    <row r="20" spans="1:8" x14ac:dyDescent="0.35">
      <c r="A20" s="3">
        <v>45992</v>
      </c>
      <c r="B20" s="3">
        <v>45992</v>
      </c>
      <c r="C20" s="4">
        <v>0.67708333333333337</v>
      </c>
      <c r="D20" s="3" t="str">
        <f>IF(
 AND(
  B20 &gt;= IF(
         YEAR(B20)&gt;=2007,
         DATE(YEAR(B20),3,14)-WEEKDAY(DATE(YEAR(B20),3,14),1)+1 + TIME(2,0,0),
         DATE(YEAR(B20),4,7)-WEEKDAY(DATE(YEAR(B20),4,7),1)+1 + TIME(2,0,0)
       ),
  B20 &lt;  IF(
         YEAR(B20)&gt;=2007,
         DATE(YEAR(B20),11,7)-WEEKDAY(DATE(YEAR(B20),11,7),1)+1 + TIME(2,0,0),
         DATE(YEAR(B20),10,31)-WEEKDAY(DATE(YEAR(B20),10,31),1) + TIME(2,0,0)
       )
 ),
 "UTC-4",
 "UTC-5"
)</f>
        <v>UTC-5</v>
      </c>
      <c r="E20" s="1">
        <v>42.74</v>
      </c>
      <c r="F20" s="1">
        <v>44.62</v>
      </c>
      <c r="G20" s="1">
        <v>42.68</v>
      </c>
      <c r="H20" s="1">
        <v>44.56</v>
      </c>
    </row>
    <row r="21" spans="1:8" x14ac:dyDescent="0.35">
      <c r="A21" s="3">
        <v>45993</v>
      </c>
      <c r="B21" s="3">
        <v>45993</v>
      </c>
      <c r="C21" s="4">
        <v>0.67708333333333337</v>
      </c>
      <c r="D21" s="3" t="str">
        <f>IF(
 AND(
  B21 &gt;= IF(
         YEAR(B21)&gt;=2007,
         DATE(YEAR(B21),3,14)-WEEKDAY(DATE(YEAR(B21),3,14),1)+1 + TIME(2,0,0),
         DATE(YEAR(B21),4,7)-WEEKDAY(DATE(YEAR(B21),4,7),1)+1 + TIME(2,0,0)
       ),
  B21 &lt;  IF(
         YEAR(B21)&gt;=2007,
         DATE(YEAR(B21),11,7)-WEEKDAY(DATE(YEAR(B21),11,7),1)+1 + TIME(2,0,0),
         DATE(YEAR(B21),10,31)-WEEKDAY(DATE(YEAR(B21),10,31),1) + TIME(2,0,0)
       )
 ),
 "UTC-4",
 "UTC-5"
)</f>
        <v>UTC-5</v>
      </c>
      <c r="E21" s="1">
        <v>42.84</v>
      </c>
      <c r="F21" s="1">
        <v>44.62</v>
      </c>
      <c r="G21" s="1">
        <v>42.21</v>
      </c>
      <c r="H21" s="1">
        <v>44.62</v>
      </c>
    </row>
    <row r="22" spans="1:8" x14ac:dyDescent="0.35">
      <c r="A22" s="3">
        <v>45994</v>
      </c>
      <c r="B22" s="3">
        <v>45994</v>
      </c>
      <c r="C22" s="4">
        <v>0.67708333333333337</v>
      </c>
      <c r="D22" s="3" t="str">
        <f>IF(
 AND(
  B22 &gt;= IF(
         YEAR(B22)&gt;=2007,
         DATE(YEAR(B22),3,14)-WEEKDAY(DATE(YEAR(B22),3,14),1)+1 + TIME(2,0,0),
         DATE(YEAR(B22),4,7)-WEEKDAY(DATE(YEAR(B22),4,7),1)+1 + TIME(2,0,0)
       ),
  B22 &lt;  IF(
         YEAR(B22)&gt;=2007,
         DATE(YEAR(B22),11,7)-WEEKDAY(DATE(YEAR(B22),11,7),1)+1 + TIME(2,0,0),
         DATE(YEAR(B22),10,31)-WEEKDAY(DATE(YEAR(B22),10,31),1) + TIME(2,0,0)
       )
 ),
 "UTC-4",
 "UTC-5"
)</f>
        <v>UTC-5</v>
      </c>
      <c r="E22" s="1">
        <v>41.99</v>
      </c>
      <c r="F22" s="1">
        <v>43.23</v>
      </c>
      <c r="G22" s="1">
        <v>41.88</v>
      </c>
      <c r="H22" s="1">
        <v>43.21</v>
      </c>
    </row>
    <row r="23" spans="1:8" x14ac:dyDescent="0.35">
      <c r="A23" s="3">
        <v>45995</v>
      </c>
      <c r="B23" s="3">
        <v>45995</v>
      </c>
      <c r="C23" s="4">
        <v>0.67708333333333337</v>
      </c>
      <c r="D23" s="3" t="str">
        <f>IF(
 AND(
  B23 &gt;= IF(
         YEAR(B23)&gt;=2007,
         DATE(YEAR(B23),3,14)-WEEKDAY(DATE(YEAR(B23),3,14),1)+1 + TIME(2,0,0),
         DATE(YEAR(B23),4,7)-WEEKDAY(DATE(YEAR(B23),4,7),1)+1 + TIME(2,0,0)
       ),
  B23 &lt;  IF(
         YEAR(B23)&gt;=2007,
         DATE(YEAR(B23),11,7)-WEEKDAY(DATE(YEAR(B23),11,7),1)+1 + TIME(2,0,0),
         DATE(YEAR(B23),10,31)-WEEKDAY(DATE(YEAR(B23),10,31),1) + TIME(2,0,0)
       )
 ),
 "UTC-4",
 "UTC-5"
)</f>
        <v>UTC-5</v>
      </c>
      <c r="E23" s="1">
        <v>41.22</v>
      </c>
      <c r="F23" s="1">
        <v>42.46</v>
      </c>
      <c r="G23" s="1">
        <v>41.02</v>
      </c>
      <c r="H23" s="1">
        <v>42.46</v>
      </c>
    </row>
    <row r="24" spans="1:8" x14ac:dyDescent="0.35">
      <c r="A24" s="3">
        <v>45996</v>
      </c>
      <c r="B24" s="3">
        <v>45996</v>
      </c>
      <c r="C24" s="4">
        <v>0.67708333333333337</v>
      </c>
      <c r="D24" s="3" t="str">
        <f>IF(
 AND(
  B24 &gt;= IF(
         YEAR(B24)&gt;=2007,
         DATE(YEAR(B24),3,14)-WEEKDAY(DATE(YEAR(B24),3,14),1)+1 + TIME(2,0,0),
         DATE(YEAR(B24),4,7)-WEEKDAY(DATE(YEAR(B24),4,7),1)+1 + TIME(2,0,0)
       ),
  B24 &lt;  IF(
         YEAR(B24)&gt;=2007,
         DATE(YEAR(B24),11,7)-WEEKDAY(DATE(YEAR(B24),11,7),1)+1 + TIME(2,0,0),
         DATE(YEAR(B24),10,31)-WEEKDAY(DATE(YEAR(B24),10,31),1) + TIME(2,0,0)
       )
 ),
 "UTC-4",
 "UTC-5"
)</f>
        <v>UTC-5</v>
      </c>
      <c r="E24" s="1">
        <v>41.13</v>
      </c>
      <c r="F24" s="1">
        <v>41.97</v>
      </c>
      <c r="G24" s="1">
        <v>40.71</v>
      </c>
      <c r="H24" s="1">
        <v>41.97</v>
      </c>
    </row>
    <row r="25" spans="1:8" x14ac:dyDescent="0.35">
      <c r="A25" s="3">
        <v>45999</v>
      </c>
      <c r="B25" s="3">
        <v>45999</v>
      </c>
      <c r="C25" s="4">
        <v>0.67708333333333337</v>
      </c>
      <c r="D25" s="3" t="str">
        <f>IF(
 AND(
  B25 &gt;= IF(
         YEAR(B25)&gt;=2007,
         DATE(YEAR(B25),3,14)-WEEKDAY(DATE(YEAR(B25),3,14),1)+1 + TIME(2,0,0),
         DATE(YEAR(B25),4,7)-WEEKDAY(DATE(YEAR(B25),4,7),1)+1 + TIME(2,0,0)
       ),
  B25 &lt;  IF(
         YEAR(B25)&gt;=2007,
         DATE(YEAR(B25),11,7)-WEEKDAY(DATE(YEAR(B25),11,7),1)+1 + TIME(2,0,0),
         DATE(YEAR(B25),10,31)-WEEKDAY(DATE(YEAR(B25),10,31),1) + TIME(2,0,0)
       )
 ),
 "UTC-4",
 "UTC-5"
)</f>
        <v>UTC-5</v>
      </c>
      <c r="E25" s="1">
        <v>40.200000000000003</v>
      </c>
      <c r="F25" s="1">
        <v>41.81</v>
      </c>
      <c r="G25" s="1">
        <v>39.99</v>
      </c>
      <c r="H25" s="1">
        <v>41.26</v>
      </c>
    </row>
    <row r="26" spans="1:8" x14ac:dyDescent="0.35">
      <c r="A26" s="3">
        <v>46000</v>
      </c>
      <c r="B26" s="3">
        <v>46000</v>
      </c>
      <c r="C26" s="4">
        <v>0.67708333333333337</v>
      </c>
      <c r="D26" s="3" t="str">
        <f>IF(
 AND(
  B26 &gt;= IF(
         YEAR(B26)&gt;=2007,
         DATE(YEAR(B26),3,14)-WEEKDAY(DATE(YEAR(B26),3,14),1)+1 + TIME(2,0,0),
         DATE(YEAR(B26),4,7)-WEEKDAY(DATE(YEAR(B26),4,7),1)+1 + TIME(2,0,0)
       ),
  B26 &lt;  IF(
         YEAR(B26)&gt;=2007,
         DATE(YEAR(B26),11,7)-WEEKDAY(DATE(YEAR(B26),11,7),1)+1 + TIME(2,0,0),
         DATE(YEAR(B26),10,31)-WEEKDAY(DATE(YEAR(B26),10,31),1) + TIME(2,0,0)
       )
 ),
 "UTC-4",
 "UTC-5"
)</f>
        <v>UTC-5</v>
      </c>
      <c r="E26" s="1">
        <v>41.48</v>
      </c>
      <c r="F26" s="1">
        <v>41.66</v>
      </c>
      <c r="G26" s="1">
        <v>39.659999999999997</v>
      </c>
      <c r="H26" s="1">
        <v>39.92</v>
      </c>
    </row>
    <row r="27" spans="1:8" x14ac:dyDescent="0.35">
      <c r="A27" s="3">
        <v>46001</v>
      </c>
      <c r="B27" s="3">
        <v>46001</v>
      </c>
      <c r="C27" s="4">
        <v>0.67708333333333337</v>
      </c>
      <c r="D27" s="3" t="str">
        <f>IF(
 AND(
  B27 &gt;= IF(
         YEAR(B27)&gt;=2007,
         DATE(YEAR(B27),3,14)-WEEKDAY(DATE(YEAR(B27),3,14),1)+1 + TIME(2,0,0),
         DATE(YEAR(B27),4,7)-WEEKDAY(DATE(YEAR(B27),4,7),1)+1 + TIME(2,0,0)
       ),
  B27 &lt;  IF(
         YEAR(B27)&gt;=2007,
         DATE(YEAR(B27),11,7)-WEEKDAY(DATE(YEAR(B27),11,7),1)+1 + TIME(2,0,0),
         DATE(YEAR(B27),10,31)-WEEKDAY(DATE(YEAR(B27),10,31),1) + TIME(2,0,0)
       )
 ),
 "UTC-4",
 "UTC-5"
)</f>
        <v>UTC-5</v>
      </c>
      <c r="E27" s="1">
        <v>42.73</v>
      </c>
      <c r="F27" s="1">
        <v>45.31</v>
      </c>
      <c r="G27" s="1">
        <v>41.08</v>
      </c>
      <c r="H27" s="1">
        <v>41.2</v>
      </c>
    </row>
    <row r="28" spans="1:8" x14ac:dyDescent="0.35">
      <c r="A28" s="3">
        <v>46002</v>
      </c>
      <c r="B28" s="3">
        <v>46002</v>
      </c>
      <c r="C28" s="4">
        <v>0.67708333333333337</v>
      </c>
      <c r="D28" s="3" t="str">
        <f>IF(
 AND(
  B28 &gt;= IF(
         YEAR(B28)&gt;=2007,
         DATE(YEAR(B28),3,14)-WEEKDAY(DATE(YEAR(B28),3,14),1)+1 + TIME(2,0,0),
         DATE(YEAR(B28),4,7)-WEEKDAY(DATE(YEAR(B28),4,7),1)+1 + TIME(2,0,0)
       ),
  B28 &lt;  IF(
         YEAR(B28)&gt;=2007,
         DATE(YEAR(B28),11,7)-WEEKDAY(DATE(YEAR(B28),11,7),1)+1 + TIME(2,0,0),
         DATE(YEAR(B28),10,31)-WEEKDAY(DATE(YEAR(B28),10,31),1) + TIME(2,0,0)
       )
 ),
 "UTC-4",
 "UTC-5"
)</f>
        <v>UTC-5</v>
      </c>
      <c r="E28" s="1">
        <v>42.65</v>
      </c>
      <c r="F28" s="1">
        <v>42.87</v>
      </c>
      <c r="G28" s="1">
        <v>41.27</v>
      </c>
      <c r="H28" s="1">
        <v>42.5</v>
      </c>
    </row>
    <row r="29" spans="1:8" x14ac:dyDescent="0.35">
      <c r="A29" s="3">
        <v>46003</v>
      </c>
      <c r="B29" s="3">
        <v>46003</v>
      </c>
      <c r="C29" s="4">
        <v>0.67708333333333337</v>
      </c>
      <c r="D29" s="3" t="str">
        <f>IF(
 AND(
  B29 &gt;= IF(
         YEAR(B29)&gt;=2007,
         DATE(YEAR(B29),3,14)-WEEKDAY(DATE(YEAR(B29),3,14),1)+1 + TIME(2,0,0),
         DATE(YEAR(B29),4,7)-WEEKDAY(DATE(YEAR(B29),4,7),1)+1 + TIME(2,0,0)
       ),
  B29 &lt;  IF(
         YEAR(B29)&gt;=2007,
         DATE(YEAR(B29),11,7)-WEEKDAY(DATE(YEAR(B29),11,7),1)+1 + TIME(2,0,0),
         DATE(YEAR(B29),10,31)-WEEKDAY(DATE(YEAR(B29),10,31),1) + TIME(2,0,0)
       )
 ),
 "UTC-4",
 "UTC-5"
)</f>
        <v>UTC-5</v>
      </c>
      <c r="E29" s="1">
        <v>42.66</v>
      </c>
      <c r="F29" s="1">
        <v>43.23</v>
      </c>
      <c r="G29" s="1">
        <v>41.6</v>
      </c>
      <c r="H29" s="1">
        <v>42.14</v>
      </c>
    </row>
    <row r="30" spans="1:8" x14ac:dyDescent="0.35">
      <c r="A30" s="3">
        <v>46006</v>
      </c>
      <c r="B30" s="3">
        <v>46006</v>
      </c>
      <c r="C30" s="4">
        <v>0.67708333333333337</v>
      </c>
      <c r="D30" s="3" t="str">
        <f>IF(
 AND(
  B30 &gt;= IF(
         YEAR(B30)&gt;=2007,
         DATE(YEAR(B30),3,14)-WEEKDAY(DATE(YEAR(B30),3,14),1)+1 + TIME(2,0,0),
         DATE(YEAR(B30),4,7)-WEEKDAY(DATE(YEAR(B30),4,7),1)+1 + TIME(2,0,0)
       ),
  B30 &lt;  IF(
         YEAR(B30)&gt;=2007,
         DATE(YEAR(B30),11,7)-WEEKDAY(DATE(YEAR(B30),11,7),1)+1 + TIME(2,0,0),
         DATE(YEAR(B30),10,31)-WEEKDAY(DATE(YEAR(B30),10,31),1) + TIME(2,0,0)
       )
 ),
 "UTC-4",
 "UTC-5"
)</f>
        <v>UTC-5</v>
      </c>
      <c r="E30" s="1">
        <v>44</v>
      </c>
      <c r="F30" s="1">
        <v>44.1</v>
      </c>
      <c r="G30" s="1">
        <v>43.22</v>
      </c>
      <c r="H30" s="1">
        <v>43.57</v>
      </c>
    </row>
    <row r="31" spans="1:8" x14ac:dyDescent="0.35">
      <c r="A31" s="3">
        <v>46007</v>
      </c>
      <c r="B31" s="3">
        <v>46007</v>
      </c>
      <c r="C31" s="4">
        <v>0.67708333333333337</v>
      </c>
      <c r="D31" s="3" t="str">
        <f>IF(
 AND(
  B31 &gt;= IF(
         YEAR(B31)&gt;=2007,
         DATE(YEAR(B31),3,14)-WEEKDAY(DATE(YEAR(B31),3,14),1)+1 + TIME(2,0,0),
         DATE(YEAR(B31),4,7)-WEEKDAY(DATE(YEAR(B31),4,7),1)+1 + TIME(2,0,0)
       ),
  B31 &lt;  IF(
         YEAR(B31)&gt;=2007,
         DATE(YEAR(B31),11,7)-WEEKDAY(DATE(YEAR(B31),11,7),1)+1 + TIME(2,0,0),
         DATE(YEAR(B31),10,31)-WEEKDAY(DATE(YEAR(B31),10,31),1) + TIME(2,0,0)
       )
 ),
 "UTC-4",
 "UTC-5"
)</f>
        <v>UTC-5</v>
      </c>
      <c r="E31" s="1">
        <v>42.91</v>
      </c>
      <c r="F31" s="1">
        <v>43.62</v>
      </c>
      <c r="G31" s="1">
        <v>42.75</v>
      </c>
      <c r="H31" s="1">
        <v>42.75</v>
      </c>
    </row>
    <row r="32" spans="1:8" x14ac:dyDescent="0.35">
      <c r="A32" s="3">
        <v>46008</v>
      </c>
      <c r="B32" s="3">
        <v>46008</v>
      </c>
      <c r="C32" s="4">
        <v>0.67708333333333337</v>
      </c>
      <c r="D32" s="3" t="str">
        <f>IF(
 AND(
  B32 &gt;= IF(
         YEAR(B32)&gt;=2007,
         DATE(YEAR(B32),3,14)-WEEKDAY(DATE(YEAR(B32),3,14),1)+1 + TIME(2,0,0),
         DATE(YEAR(B32),4,7)-WEEKDAY(DATE(YEAR(B32),4,7),1)+1 + TIME(2,0,0)
       ),
  B32 &lt;  IF(
         YEAR(B32)&gt;=2007,
         DATE(YEAR(B32),11,7)-WEEKDAY(DATE(YEAR(B32),11,7),1)+1 + TIME(2,0,0),
         DATE(YEAR(B32),10,31)-WEEKDAY(DATE(YEAR(B32),10,31),1) + TIME(2,0,0)
       )
 ),
 "UTC-4",
 "UTC-5"
)</f>
        <v>UTC-5</v>
      </c>
      <c r="E32" s="1">
        <v>43.58</v>
      </c>
      <c r="F32" s="1">
        <v>43.86</v>
      </c>
      <c r="G32" s="1">
        <v>42.82</v>
      </c>
      <c r="H32" s="1">
        <v>42.82</v>
      </c>
    </row>
    <row r="33" spans="1:8" x14ac:dyDescent="0.35">
      <c r="A33" s="3">
        <v>46009</v>
      </c>
      <c r="B33" s="3">
        <v>46009</v>
      </c>
      <c r="C33" s="4">
        <v>0.67708333333333337</v>
      </c>
      <c r="D33" s="3" t="str">
        <f>IF(
 AND(
  B33 &gt;= IF(
         YEAR(B33)&gt;=2007,
         DATE(YEAR(B33),3,14)-WEEKDAY(DATE(YEAR(B33),3,14),1)+1 + TIME(2,0,0),
         DATE(YEAR(B33),4,7)-WEEKDAY(DATE(YEAR(B33),4,7),1)+1 + TIME(2,0,0)
       ),
  B33 &lt;  IF(
         YEAR(B33)&gt;=2007,
         DATE(YEAR(B33),11,7)-WEEKDAY(DATE(YEAR(B33),11,7),1)+1 + TIME(2,0,0),
         DATE(YEAR(B33),10,31)-WEEKDAY(DATE(YEAR(B33),10,31),1) + TIME(2,0,0)
       )
 ),
 "UTC-4",
 "UTC-5"
)</f>
        <v>UTC-5</v>
      </c>
      <c r="E33" s="1">
        <v>42.5</v>
      </c>
      <c r="F33" s="1">
        <v>43.38</v>
      </c>
      <c r="G33" s="1">
        <v>42.02</v>
      </c>
      <c r="H33" s="1">
        <v>43.36</v>
      </c>
    </row>
    <row r="34" spans="1:8" x14ac:dyDescent="0.35">
      <c r="A34" s="3">
        <v>46010</v>
      </c>
      <c r="B34" s="3">
        <v>46010</v>
      </c>
      <c r="C34" s="4">
        <v>0.67708333333333337</v>
      </c>
      <c r="D34" s="3" t="str">
        <f>IF(
 AND(
  B34 &gt;= IF(
         YEAR(B34)&gt;=2007,
         DATE(YEAR(B34),3,14)-WEEKDAY(DATE(YEAR(B34),3,14),1)+1 + TIME(2,0,0),
         DATE(YEAR(B34),4,7)-WEEKDAY(DATE(YEAR(B34),4,7),1)+1 + TIME(2,0,0)
       ),
  B34 &lt;  IF(
         YEAR(B34)&gt;=2007,
         DATE(YEAR(B34),11,7)-WEEKDAY(DATE(YEAR(B34),11,7),1)+1 + TIME(2,0,0),
         DATE(YEAR(B34),10,31)-WEEKDAY(DATE(YEAR(B34),10,31),1) + TIME(2,0,0)
       )
 ),
 "UTC-4",
 "UTC-5"
)</f>
        <v>UTC-5</v>
      </c>
      <c r="E34" s="1">
        <v>40.520000000000003</v>
      </c>
      <c r="F34" s="1">
        <v>42.74</v>
      </c>
      <c r="G34" s="1">
        <v>40.340000000000003</v>
      </c>
      <c r="H34" s="1">
        <v>42.04</v>
      </c>
    </row>
    <row r="35" spans="1:8" x14ac:dyDescent="0.35">
      <c r="A35" s="3">
        <v>46013</v>
      </c>
      <c r="B35" s="3">
        <v>46013</v>
      </c>
      <c r="C35" s="4">
        <v>0.67708333333333337</v>
      </c>
      <c r="D35" s="3" t="str">
        <f>IF(
 AND(
  B35 &gt;= IF(
         YEAR(B35)&gt;=2007,
         DATE(YEAR(B35),3,14)-WEEKDAY(DATE(YEAR(B35),3,14),1)+1 + TIME(2,0,0),
         DATE(YEAR(B35),4,7)-WEEKDAY(DATE(YEAR(B35),4,7),1)+1 + TIME(2,0,0)
       ),
  B35 &lt;  IF(
         YEAR(B35)&gt;=2007,
         DATE(YEAR(B35),11,7)-WEEKDAY(DATE(YEAR(B35),11,7),1)+1 + TIME(2,0,0),
         DATE(YEAR(B35),10,31)-WEEKDAY(DATE(YEAR(B35),10,31),1) + TIME(2,0,0)
       )
 ),
 "UTC-4",
 "UTC-5"
)</f>
        <v>UTC-5</v>
      </c>
      <c r="E35" s="1">
        <v>43.52</v>
      </c>
      <c r="F35" s="1">
        <v>43.62</v>
      </c>
      <c r="G35" s="1">
        <v>42.42</v>
      </c>
      <c r="H35" s="1">
        <v>42.43</v>
      </c>
    </row>
    <row r="36" spans="1:8" x14ac:dyDescent="0.35">
      <c r="A36" s="3">
        <v>46014</v>
      </c>
      <c r="B36" s="3">
        <v>46014</v>
      </c>
      <c r="C36" s="4">
        <v>0.67708333333333337</v>
      </c>
      <c r="D36" s="3" t="str">
        <f>IF(
 AND(
  B36 &gt;= IF(
         YEAR(B36)&gt;=2007,
         DATE(YEAR(B36),3,14)-WEEKDAY(DATE(YEAR(B36),3,14),1)+1 + TIME(2,0,0),
         DATE(YEAR(B36),4,7)-WEEKDAY(DATE(YEAR(B36),4,7),1)+1 + TIME(2,0,0)
       ),
  B36 &lt;  IF(
         YEAR(B36)&gt;=2007,
         DATE(YEAR(B36),11,7)-WEEKDAY(DATE(YEAR(B36),11,7),1)+1 + TIME(2,0,0),
         DATE(YEAR(B36),10,31)-WEEKDAY(DATE(YEAR(B36),10,31),1) + TIME(2,0,0)
       )
 ),
 "UTC-4",
 "UTC-5"
)</f>
        <v>UTC-5</v>
      </c>
      <c r="E36" s="1">
        <v>43.46</v>
      </c>
      <c r="F36" s="1">
        <v>44.04</v>
      </c>
      <c r="G36" s="1">
        <v>42.79</v>
      </c>
      <c r="H36" s="1">
        <v>44.04</v>
      </c>
    </row>
    <row r="37" spans="1:8" x14ac:dyDescent="0.35">
      <c r="A37" s="3">
        <v>46015</v>
      </c>
      <c r="B37" s="3">
        <v>46015</v>
      </c>
      <c r="C37" s="4">
        <v>0.67708333333333337</v>
      </c>
      <c r="D37" s="3" t="str">
        <f>IF(
 AND(
  B37 &gt;= IF(
         YEAR(B37)&gt;=2007,
         DATE(YEAR(B37),3,14)-WEEKDAY(DATE(YEAR(B37),3,14),1)+1 + TIME(2,0,0),
         DATE(YEAR(B37),4,7)-WEEKDAY(DATE(YEAR(B37),4,7),1)+1 + TIME(2,0,0)
       ),
  B37 &lt;  IF(
         YEAR(B37)&gt;=2007,
         DATE(YEAR(B37),11,7)-WEEKDAY(DATE(YEAR(B37),11,7),1)+1 + TIME(2,0,0),
         DATE(YEAR(B37),10,31)-WEEKDAY(DATE(YEAR(B37),10,31),1) + TIME(2,0,0)
       )
 ),
 "UTC-4",
 "UTC-5"
)</f>
        <v>UTC-5</v>
      </c>
      <c r="E37" s="1">
        <v>43.63</v>
      </c>
      <c r="F37" s="1">
        <v>43.63</v>
      </c>
      <c r="G37" s="1">
        <v>43</v>
      </c>
      <c r="H37" s="1">
        <v>43.35</v>
      </c>
    </row>
    <row r="38" spans="1:8" x14ac:dyDescent="0.35">
      <c r="A38" s="3">
        <v>46017</v>
      </c>
      <c r="B38" s="3">
        <v>46017</v>
      </c>
      <c r="C38" s="4">
        <v>0.67708333333333337</v>
      </c>
      <c r="D38" s="3" t="str">
        <f>IF(
 AND(
  B38 &gt;= IF(
         YEAR(B38)&gt;=2007,
         DATE(YEAR(B38),3,14)-WEEKDAY(DATE(YEAR(B38),3,14),1)+1 + TIME(2,0,0),
         DATE(YEAR(B38),4,7)-WEEKDAY(DATE(YEAR(B38),4,7),1)+1 + TIME(2,0,0)
       ),
  B38 &lt;  IF(
         YEAR(B38)&gt;=2007,
         DATE(YEAR(B38),11,7)-WEEKDAY(DATE(YEAR(B38),11,7),1)+1 + TIME(2,0,0),
         DATE(YEAR(B38),10,31)-WEEKDAY(DATE(YEAR(B38),10,31),1) + TIME(2,0,0)
       )
 ),
 "UTC-4",
 "UTC-5"
)</f>
        <v>UTC-5</v>
      </c>
      <c r="E38" s="1">
        <v>44.85</v>
      </c>
      <c r="F38" s="1">
        <v>45.36</v>
      </c>
      <c r="G38" s="1">
        <v>44.03</v>
      </c>
      <c r="H38" s="1">
        <v>44.03</v>
      </c>
    </row>
    <row r="39" spans="1:8" x14ac:dyDescent="0.35">
      <c r="A39" s="3">
        <v>46020</v>
      </c>
      <c r="B39" s="3">
        <v>46020</v>
      </c>
      <c r="C39" s="4">
        <v>0.67708333333333337</v>
      </c>
      <c r="D39" s="3" t="str">
        <f>IF(
 AND(
  B39 &gt;= IF(
         YEAR(B39)&gt;=2007,
         DATE(YEAR(B39),3,14)-WEEKDAY(DATE(YEAR(B39),3,14),1)+1 + TIME(2,0,0),
         DATE(YEAR(B39),4,7)-WEEKDAY(DATE(YEAR(B39),4,7),1)+1 + TIME(2,0,0)
       ),
  B39 &lt;  IF(
         YEAR(B39)&gt;=2007,
         DATE(YEAR(B39),11,7)-WEEKDAY(DATE(YEAR(B39),11,7),1)+1 + TIME(2,0,0),
         DATE(YEAR(B39),10,31)-WEEKDAY(DATE(YEAR(B39),10,31),1) + TIME(2,0,0)
       )
 ),
 "UTC-4",
 "UTC-5"
)</f>
        <v>UTC-5</v>
      </c>
      <c r="E39" s="1">
        <v>46.14</v>
      </c>
      <c r="F39" s="1">
        <v>46.61</v>
      </c>
      <c r="G39" s="1">
        <v>45.04</v>
      </c>
      <c r="H39" s="1">
        <v>45.6</v>
      </c>
    </row>
    <row r="40" spans="1:8" x14ac:dyDescent="0.35">
      <c r="A40" s="3">
        <v>46021</v>
      </c>
      <c r="B40" s="3">
        <v>46021</v>
      </c>
      <c r="C40" s="4">
        <v>0.67708333333333337</v>
      </c>
      <c r="D40" s="3" t="str">
        <f>IF(
 AND(
  B40 &gt;= IF(
         YEAR(B40)&gt;=2007,
         DATE(YEAR(B40),3,14)-WEEKDAY(DATE(YEAR(B40),3,14),1)+1 + TIME(2,0,0),
         DATE(YEAR(B40),4,7)-WEEKDAY(DATE(YEAR(B40),4,7),1)+1 + TIME(2,0,0)
       ),
  B40 &lt;  IF(
         YEAR(B40)&gt;=2007,
         DATE(YEAR(B40),11,7)-WEEKDAY(DATE(YEAR(B40),11,7),1)+1 + TIME(2,0,0),
         DATE(YEAR(B40),10,31)-WEEKDAY(DATE(YEAR(B40),10,31),1) + TIME(2,0,0)
       )
 ),
 "UTC-4",
 "UTC-5"
)</f>
        <v>UTC-5</v>
      </c>
      <c r="E40" s="1">
        <v>44.75</v>
      </c>
      <c r="F40" s="1">
        <v>46.2</v>
      </c>
      <c r="G40" s="1">
        <v>44.52</v>
      </c>
      <c r="H40" s="1">
        <v>46.13</v>
      </c>
    </row>
    <row r="41" spans="1:8" x14ac:dyDescent="0.35">
      <c r="A41" s="3">
        <v>46022</v>
      </c>
      <c r="B41" s="3">
        <v>46022</v>
      </c>
      <c r="C41" s="4">
        <v>0.67708333333333337</v>
      </c>
      <c r="D41" s="3" t="str">
        <f>IF(
 AND(
  B41 &gt;= IF(
         YEAR(B41)&gt;=2007,
         DATE(YEAR(B41),3,14)-WEEKDAY(DATE(YEAR(B41),3,14),1)+1 + TIME(2,0,0),
         DATE(YEAR(B41),4,7)-WEEKDAY(DATE(YEAR(B41),4,7),1)+1 + TIME(2,0,0)
       ),
  B41 &lt;  IF(
         YEAR(B41)&gt;=2007,
         DATE(YEAR(B41),11,7)-WEEKDAY(DATE(YEAR(B41),11,7),1)+1 + TIME(2,0,0),
         DATE(YEAR(B41),10,31)-WEEKDAY(DATE(YEAR(B41),10,31),1) + TIME(2,0,0)
       )
 ),
 "UTC-4",
 "UTC-5"
)</f>
        <v>UTC-5</v>
      </c>
      <c r="E41" s="1">
        <v>43.5</v>
      </c>
      <c r="F41" s="1">
        <v>44.82</v>
      </c>
      <c r="G41" s="1">
        <v>43.43</v>
      </c>
      <c r="H41" s="1">
        <v>44.36</v>
      </c>
    </row>
    <row r="42" spans="1:8" x14ac:dyDescent="0.35">
      <c r="A42" s="3">
        <v>46024</v>
      </c>
      <c r="B42" s="3">
        <v>46024</v>
      </c>
      <c r="C42" s="4">
        <v>0.67708333333333337</v>
      </c>
      <c r="D42" s="3" t="str">
        <f>IF(
 AND(
  B42 &gt;= IF(
         YEAR(B42)&gt;=2007,
         DATE(YEAR(B42),3,14)-WEEKDAY(DATE(YEAR(B42),3,14),1)+1 + TIME(2,0,0),
         DATE(YEAR(B42),4,7)-WEEKDAY(DATE(YEAR(B42),4,7),1)+1 + TIME(2,0,0)
       ),
  B42 &lt;  IF(
         YEAR(B42)&gt;=2007,
         DATE(YEAR(B42),11,7)-WEEKDAY(DATE(YEAR(B42),11,7),1)+1 + TIME(2,0,0),
         DATE(YEAR(B42),10,31)-WEEKDAY(DATE(YEAR(B42),10,31),1) + TIME(2,0,0)
       )
 ),
 "UTC-4",
 "UTC-5"
)</f>
        <v>UTC-5</v>
      </c>
      <c r="E42" s="1">
        <v>43.67</v>
      </c>
      <c r="F42" s="1">
        <v>44.1</v>
      </c>
      <c r="G42" s="1">
        <v>43.06</v>
      </c>
      <c r="H42" s="1">
        <v>44.05</v>
      </c>
    </row>
    <row r="43" spans="1:8" x14ac:dyDescent="0.35">
      <c r="A43" s="3">
        <v>46027</v>
      </c>
      <c r="B43" s="3">
        <v>46027</v>
      </c>
      <c r="C43" s="4">
        <v>0.67708333333333337</v>
      </c>
      <c r="D43" s="3" t="str">
        <f>IF(
 AND(
  B43 &gt;= IF(
         YEAR(B43)&gt;=2007,
         DATE(YEAR(B43),3,14)-WEEKDAY(DATE(YEAR(B43),3,14),1)+1 + TIME(2,0,0),
         DATE(YEAR(B43),4,7)-WEEKDAY(DATE(YEAR(B43),4,7),1)+1 + TIME(2,0,0)
       ),
  B43 &lt;  IF(
         YEAR(B43)&gt;=2007,
         DATE(YEAR(B43),11,7)-WEEKDAY(DATE(YEAR(B43),11,7),1)+1 + TIME(2,0,0),
         DATE(YEAR(B43),10,31)-WEEKDAY(DATE(YEAR(B43),10,31),1) + TIME(2,0,0)
       )
 ),
 "UTC-4",
 "UTC-5"
)</f>
        <v>UTC-5</v>
      </c>
      <c r="E43" s="1">
        <v>45.29</v>
      </c>
      <c r="F43" s="1">
        <v>45.95</v>
      </c>
      <c r="G43" s="1">
        <v>44.62</v>
      </c>
      <c r="H43" s="1">
        <v>44.84</v>
      </c>
    </row>
    <row r="44" spans="1:8" x14ac:dyDescent="0.35">
      <c r="A44" s="3">
        <v>46028</v>
      </c>
      <c r="B44" s="3">
        <v>46028</v>
      </c>
      <c r="C44" s="4">
        <v>0.67708333333333337</v>
      </c>
      <c r="D44" s="3" t="str">
        <f>IF(
 AND(
  B44 &gt;= IF(
         YEAR(B44)&gt;=2007,
         DATE(YEAR(B44),3,14)-WEEKDAY(DATE(YEAR(B44),3,14),1)+1 + TIME(2,0,0),
         DATE(YEAR(B44),4,7)-WEEKDAY(DATE(YEAR(B44),4,7),1)+1 + TIME(2,0,0)
       ),
  B44 &lt;  IF(
         YEAR(B44)&gt;=2007,
         DATE(YEAR(B44),11,7)-WEEKDAY(DATE(YEAR(B44),11,7),1)+1 + TIME(2,0,0),
         DATE(YEAR(B44),10,31)-WEEKDAY(DATE(YEAR(B44),10,31),1) + TIME(2,0,0)
       )
 ),
 "UTC-4",
 "UTC-5"
)</f>
        <v>UTC-5</v>
      </c>
      <c r="E44" s="1">
        <v>46.78</v>
      </c>
      <c r="F44" s="1">
        <v>46.88</v>
      </c>
      <c r="G44" s="1">
        <v>44.75</v>
      </c>
      <c r="H44" s="1">
        <v>45.13</v>
      </c>
    </row>
    <row r="45" spans="1:8" x14ac:dyDescent="0.35">
      <c r="A45" s="3">
        <v>46029</v>
      </c>
      <c r="B45" s="3">
        <v>46029</v>
      </c>
      <c r="C45" s="4">
        <v>0.67708333333333337</v>
      </c>
      <c r="D45" s="3" t="str">
        <f>IF(
 AND(
  B45 &gt;= IF(
         YEAR(B45)&gt;=2007,
         DATE(YEAR(B45),3,14)-WEEKDAY(DATE(YEAR(B45),3,14),1)+1 + TIME(2,0,0),
         DATE(YEAR(B45),4,7)-WEEKDAY(DATE(YEAR(B45),4,7),1)+1 + TIME(2,0,0)
       ),
  B45 &lt;  IF(
         YEAR(B45)&gt;=2007,
         DATE(YEAR(B45),11,7)-WEEKDAY(DATE(YEAR(B45),11,7),1)+1 + TIME(2,0,0),
         DATE(YEAR(B45),10,31)-WEEKDAY(DATE(YEAR(B45),10,31),1) + TIME(2,0,0)
       )
 ),
 "UTC-4",
 "UTC-5"
)</f>
        <v>UTC-5</v>
      </c>
      <c r="E45" s="1">
        <v>45.94</v>
      </c>
      <c r="F45" s="1">
        <v>46.77</v>
      </c>
      <c r="G45" s="1">
        <v>45.76</v>
      </c>
      <c r="H45" s="1">
        <v>46.21</v>
      </c>
    </row>
    <row r="46" spans="1:8" x14ac:dyDescent="0.35">
      <c r="A46" s="3">
        <v>46030</v>
      </c>
      <c r="B46" s="3">
        <v>46030</v>
      </c>
      <c r="C46" s="4">
        <v>0.67708333333333337</v>
      </c>
      <c r="D46" s="3" t="str">
        <f>IF(
 AND(
  B46 &gt;= IF(
         YEAR(B46)&gt;=2007,
         DATE(YEAR(B46),3,14)-WEEKDAY(DATE(YEAR(B46),3,14),1)+1 + TIME(2,0,0),
         DATE(YEAR(B46),4,7)-WEEKDAY(DATE(YEAR(B46),4,7),1)+1 + TIME(2,0,0)
       ),
  B46 &lt;  IF(
         YEAR(B46)&gt;=2007,
         DATE(YEAR(B46),11,7)-WEEKDAY(DATE(YEAR(B46),11,7),1)+1 + TIME(2,0,0),
         DATE(YEAR(B46),10,31)-WEEKDAY(DATE(YEAR(B46),10,31),1) + TIME(2,0,0)
       )
 ),
 "UTC-4",
 "UTC-5"
)</f>
        <v>UTC-5</v>
      </c>
      <c r="E46" s="1">
        <v>46.28</v>
      </c>
      <c r="F46" s="1">
        <v>46.38</v>
      </c>
      <c r="G46" s="1">
        <v>45.64</v>
      </c>
      <c r="H46" s="1">
        <v>46.22</v>
      </c>
    </row>
    <row r="47" spans="1:8" x14ac:dyDescent="0.35">
      <c r="A47" s="3">
        <v>46031</v>
      </c>
      <c r="B47" s="3">
        <v>46031</v>
      </c>
      <c r="C47" s="4">
        <v>0.67708333333333337</v>
      </c>
      <c r="D47" s="3" t="str">
        <f>IF(
 AND(
  B47 &gt;= IF(
         YEAR(B47)&gt;=2007,
         DATE(YEAR(B47),3,14)-WEEKDAY(DATE(YEAR(B47),3,14),1)+1 + TIME(2,0,0),
         DATE(YEAR(B47),4,7)-WEEKDAY(DATE(YEAR(B47),4,7),1)+1 + TIME(2,0,0)
       ),
  B47 &lt;  IF(
         YEAR(B47)&gt;=2007,
         DATE(YEAR(B47),11,7)-WEEKDAY(DATE(YEAR(B47),11,7),1)+1 + TIME(2,0,0),
         DATE(YEAR(B47),10,31)-WEEKDAY(DATE(YEAR(B47),10,31),1) + TIME(2,0,0)
       )
 ),
 "UTC-4",
 "UTC-5"
)</f>
        <v>UTC-5</v>
      </c>
      <c r="E47" s="1">
        <v>45.52</v>
      </c>
      <c r="F47" s="1">
        <v>47.03</v>
      </c>
      <c r="G47" s="1">
        <v>44.72</v>
      </c>
      <c r="H47" s="1">
        <v>46.4</v>
      </c>
    </row>
    <row r="48" spans="1:8" x14ac:dyDescent="0.35">
      <c r="A48" s="3">
        <v>46034</v>
      </c>
      <c r="B48" s="3">
        <v>46034</v>
      </c>
      <c r="C48" s="4">
        <v>0.67708333333333337</v>
      </c>
      <c r="D48" s="3" t="str">
        <f>IF(
 AND(
  B48 &gt;= IF(
         YEAR(B48)&gt;=2007,
         DATE(YEAR(B48),3,14)-WEEKDAY(DATE(YEAR(B48),3,14),1)+1 + TIME(2,0,0),
         DATE(YEAR(B48),4,7)-WEEKDAY(DATE(YEAR(B48),4,7),1)+1 + TIME(2,0,0)
       ),
  B48 &lt;  IF(
         YEAR(B48)&gt;=2007,
         DATE(YEAR(B48),11,7)-WEEKDAY(DATE(YEAR(B48),11,7),1)+1 + TIME(2,0,0),
         DATE(YEAR(B48),10,31)-WEEKDAY(DATE(YEAR(B48),10,31),1) + TIME(2,0,0)
       )
 ),
 "UTC-4",
 "UTC-5"
)</f>
        <v>UTC-5</v>
      </c>
      <c r="E48" s="1">
        <v>47.13</v>
      </c>
      <c r="F48" s="1">
        <v>47.63</v>
      </c>
      <c r="G48" s="1">
        <v>46.51</v>
      </c>
      <c r="H48" s="1">
        <v>47.31</v>
      </c>
    </row>
    <row r="49" spans="1:8" x14ac:dyDescent="0.35">
      <c r="A49" s="3">
        <v>46035</v>
      </c>
      <c r="B49" s="3">
        <v>46035</v>
      </c>
      <c r="C49" s="4">
        <v>0.67708333333333337</v>
      </c>
      <c r="D49" s="3" t="str">
        <f>IF(
 AND(
  B49 &gt;= IF(
         YEAR(B49)&gt;=2007,
         DATE(YEAR(B49),3,14)-WEEKDAY(DATE(YEAR(B49),3,14),1)+1 + TIME(2,0,0),
         DATE(YEAR(B49),4,7)-WEEKDAY(DATE(YEAR(B49),4,7),1)+1 + TIME(2,0,0)
       ),
  B49 &lt;  IF(
         YEAR(B49)&gt;=2007,
         DATE(YEAR(B49),11,7)-WEEKDAY(DATE(YEAR(B49),11,7),1)+1 + TIME(2,0,0),
         DATE(YEAR(B49),10,31)-WEEKDAY(DATE(YEAR(B49),10,31),1) + TIME(2,0,0)
       )
 ),
 "UTC-4",
 "UTC-5"
)</f>
        <v>UTC-5</v>
      </c>
      <c r="E49" s="1">
        <v>44.95</v>
      </c>
      <c r="F49" s="1">
        <v>47.69</v>
      </c>
      <c r="G49" s="1">
        <v>44.84</v>
      </c>
      <c r="H49" s="1">
        <v>47.69</v>
      </c>
    </row>
    <row r="50" spans="1:8" x14ac:dyDescent="0.35">
      <c r="A50" s="3">
        <v>46036</v>
      </c>
      <c r="B50" s="3">
        <v>46036</v>
      </c>
      <c r="C50" s="4">
        <v>0.67708333333333337</v>
      </c>
      <c r="D50" s="3" t="str">
        <f>IF(
 AND(
  B50 &gt;= IF(
         YEAR(B50)&gt;=2007,
         DATE(YEAR(B50),3,14)-WEEKDAY(DATE(YEAR(B50),3,14),1)+1 + TIME(2,0,0),
         DATE(YEAR(B50),4,7)-WEEKDAY(DATE(YEAR(B50),4,7),1)+1 + TIME(2,0,0)
       ),
  B50 &lt;  IF(
         YEAR(B50)&gt;=2007,
         DATE(YEAR(B50),11,7)-WEEKDAY(DATE(YEAR(B50),11,7),1)+1 + TIME(2,0,0),
         DATE(YEAR(B50),10,31)-WEEKDAY(DATE(YEAR(B50),10,31),1) + TIME(2,0,0)
       )
 ),
 "UTC-4",
 "UTC-5"
)</f>
        <v>UTC-5</v>
      </c>
      <c r="E50" s="1">
        <v>44.28</v>
      </c>
      <c r="F50" s="1">
        <v>46.49</v>
      </c>
      <c r="G50" s="1">
        <v>44.11</v>
      </c>
      <c r="H50" s="1">
        <v>45.62</v>
      </c>
    </row>
    <row r="51" spans="1:8" x14ac:dyDescent="0.35">
      <c r="A51" s="3">
        <v>46037</v>
      </c>
      <c r="B51" s="3">
        <v>46037</v>
      </c>
      <c r="C51" s="4">
        <v>0.67708333333333337</v>
      </c>
      <c r="D51" s="3" t="str">
        <f>IF(
 AND(
  B51 &gt;= IF(
         YEAR(B51)&gt;=2007,
         DATE(YEAR(B51),3,14)-WEEKDAY(DATE(YEAR(B51),3,14),1)+1 + TIME(2,0,0),
         DATE(YEAR(B51),4,7)-WEEKDAY(DATE(YEAR(B51),4,7),1)+1 + TIME(2,0,0)
       ),
  B51 &lt;  IF(
         YEAR(B51)&gt;=2007,
         DATE(YEAR(B51),11,7)-WEEKDAY(DATE(YEAR(B51),11,7),1)+1 + TIME(2,0,0),
         DATE(YEAR(B51),10,31)-WEEKDAY(DATE(YEAR(B51),10,31),1) + TIME(2,0,0)
       )
 ),
 "UTC-4",
 "UTC-5"
)</f>
        <v>UTC-5</v>
      </c>
      <c r="E51" s="1">
        <v>43.3</v>
      </c>
      <c r="F51" s="1">
        <v>45.47</v>
      </c>
      <c r="G51" s="1">
        <v>43.29</v>
      </c>
      <c r="H51" s="1">
        <v>45.47</v>
      </c>
    </row>
    <row r="52" spans="1:8" x14ac:dyDescent="0.35">
      <c r="A52" s="3">
        <v>46038</v>
      </c>
      <c r="B52" s="3">
        <v>46038</v>
      </c>
      <c r="C52" s="4">
        <v>0.67708333333333337</v>
      </c>
      <c r="D52" s="3" t="str">
        <f>IF(
 AND(
  B52 &gt;= IF(
         YEAR(B52)&gt;=2007,
         DATE(YEAR(B52),3,14)-WEEKDAY(DATE(YEAR(B52),3,14),1)+1 + TIME(2,0,0),
         DATE(YEAR(B52),4,7)-WEEKDAY(DATE(YEAR(B52),4,7),1)+1 + TIME(2,0,0)
       ),
  B52 &lt;  IF(
         YEAR(B52)&gt;=2007,
         DATE(YEAR(B52),11,7)-WEEKDAY(DATE(YEAR(B52),11,7),1)+1 + TIME(2,0,0),
         DATE(YEAR(B52),10,31)-WEEKDAY(DATE(YEAR(B52),10,31),1) + TIME(2,0,0)
       )
 ),
 "UTC-4",
 "UTC-5"
)</f>
        <v>UTC-5</v>
      </c>
      <c r="E52" s="1">
        <v>44.22</v>
      </c>
      <c r="F52" s="1">
        <v>44.59</v>
      </c>
      <c r="G52" s="1">
        <v>42.97</v>
      </c>
      <c r="H52" s="1">
        <v>44.28</v>
      </c>
    </row>
    <row r="53" spans="1:8" x14ac:dyDescent="0.35">
      <c r="A53" s="3">
        <v>46042</v>
      </c>
      <c r="B53" s="3">
        <v>46042</v>
      </c>
      <c r="C53" s="4">
        <v>0.67708333333333337</v>
      </c>
      <c r="D53" s="3" t="str">
        <f>IF(
 AND(
  B53 &gt;= IF(
         YEAR(B53)&gt;=2007,
         DATE(YEAR(B53),3,14)-WEEKDAY(DATE(YEAR(B53),3,14),1)+1 + TIME(2,0,0),
         DATE(YEAR(B53),4,7)-WEEKDAY(DATE(YEAR(B53),4,7),1)+1 + TIME(2,0,0)
       ),
  B53 &lt;  IF(
         YEAR(B53)&gt;=2007,
         DATE(YEAR(B53),11,7)-WEEKDAY(DATE(YEAR(B53),11,7),1)+1 + TIME(2,0,0),
         DATE(YEAR(B53),10,31)-WEEKDAY(DATE(YEAR(B53),10,31),1) + TIME(2,0,0)
       )
 ),
 "UTC-4",
 "UTC-5"
)</f>
        <v>UTC-5</v>
      </c>
      <c r="E53" s="1">
        <v>49.11</v>
      </c>
      <c r="F53" s="1">
        <v>49.78</v>
      </c>
      <c r="G53" s="1">
        <v>46.93</v>
      </c>
      <c r="H53" s="1">
        <v>49.78</v>
      </c>
    </row>
    <row r="54" spans="1:8" x14ac:dyDescent="0.35">
      <c r="A54" s="3">
        <v>46043</v>
      </c>
      <c r="B54" s="3">
        <v>46043</v>
      </c>
      <c r="C54" s="4">
        <v>0.67708333333333337</v>
      </c>
      <c r="D54" s="3" t="str">
        <f>IF(
 AND(
  B54 &gt;= IF(
         YEAR(B54)&gt;=2007,
         DATE(YEAR(B54),3,14)-WEEKDAY(DATE(YEAR(B54),3,14),1)+1 + TIME(2,0,0),
         DATE(YEAR(B54),4,7)-WEEKDAY(DATE(YEAR(B54),4,7),1)+1 + TIME(2,0,0)
       ),
  B54 &lt;  IF(
         YEAR(B54)&gt;=2007,
         DATE(YEAR(B54),11,7)-WEEKDAY(DATE(YEAR(B54),11,7),1)+1 + TIME(2,0,0),
         DATE(YEAR(B54),10,31)-WEEKDAY(DATE(YEAR(B54),10,31),1) + TIME(2,0,0)
       )
 ),
 "UTC-4",
 "UTC-5"
)</f>
        <v>UTC-5</v>
      </c>
      <c r="E54" s="1">
        <v>49.29</v>
      </c>
      <c r="F54" s="1">
        <v>55.11</v>
      </c>
      <c r="G54" s="1">
        <v>47.59</v>
      </c>
      <c r="H54" s="1">
        <v>49.42</v>
      </c>
    </row>
    <row r="55" spans="1:8" x14ac:dyDescent="0.35">
      <c r="A55" s="3">
        <v>46044</v>
      </c>
      <c r="B55" s="3">
        <v>46044</v>
      </c>
      <c r="C55" s="4">
        <v>0.67708333333333337</v>
      </c>
      <c r="D55" s="3" t="str">
        <f>IF(
 AND(
  B55 &gt;= IF(
         YEAR(B55)&gt;=2007,
         DATE(YEAR(B55),3,14)-WEEKDAY(DATE(YEAR(B55),3,14),1)+1 + TIME(2,0,0),
         DATE(YEAR(B55),4,7)-WEEKDAY(DATE(YEAR(B55),4,7),1)+1 + TIME(2,0,0)
       ),
  B55 &lt;  IF(
         YEAR(B55)&gt;=2007,
         DATE(YEAR(B55),11,7)-WEEKDAY(DATE(YEAR(B55),11,7),1)+1 + TIME(2,0,0),
         DATE(YEAR(B55),10,31)-WEEKDAY(DATE(YEAR(B55),10,31),1) + TIME(2,0,0)
       )
 ),
 "UTC-4",
 "UTC-5"
)</f>
        <v>UTC-5</v>
      </c>
      <c r="E55" s="1">
        <v>48.84</v>
      </c>
      <c r="F55" s="1">
        <v>49.67</v>
      </c>
      <c r="G55" s="1">
        <v>46.89</v>
      </c>
      <c r="H55" s="1">
        <v>49.67</v>
      </c>
    </row>
    <row r="56" spans="1:8" x14ac:dyDescent="0.35">
      <c r="A56" s="3">
        <v>46045</v>
      </c>
      <c r="B56" s="3">
        <v>46045</v>
      </c>
      <c r="C56" s="4">
        <v>0.67708333333333337</v>
      </c>
      <c r="D56" s="3" t="str">
        <f>IF(
 AND(
  B56 &gt;= IF(
         YEAR(B56)&gt;=2007,
         DATE(YEAR(B56),3,14)-WEEKDAY(DATE(YEAR(B56),3,14),1)+1 + TIME(2,0,0),
         DATE(YEAR(B56),4,7)-WEEKDAY(DATE(YEAR(B56),4,7),1)+1 + TIME(2,0,0)
       ),
  B56 &lt;  IF(
         YEAR(B56)&gt;=2007,
         DATE(YEAR(B56),11,7)-WEEKDAY(DATE(YEAR(B56),11,7),1)+1 + TIME(2,0,0),
         DATE(YEAR(B56),10,31)-WEEKDAY(DATE(YEAR(B56),10,31),1) + TIME(2,0,0)
       )
 ),
 "UTC-4",
 "UTC-5"
)</f>
        <v>UTC-5</v>
      </c>
      <c r="E56" s="1">
        <v>49.66</v>
      </c>
      <c r="F56" s="1">
        <v>50.78</v>
      </c>
      <c r="G56" s="1">
        <v>48.4</v>
      </c>
      <c r="H56" s="1">
        <v>50.78</v>
      </c>
    </row>
    <row r="57" spans="1:8" x14ac:dyDescent="0.35">
      <c r="A57" s="3">
        <v>46048</v>
      </c>
      <c r="B57" s="3">
        <v>46048</v>
      </c>
      <c r="C57" s="4">
        <v>0.67708333333333337</v>
      </c>
      <c r="D57" s="3" t="str">
        <f>IF(
 AND(
  B57 &gt;= IF(
         YEAR(B57)&gt;=2007,
         DATE(YEAR(B57),3,14)-WEEKDAY(DATE(YEAR(B57),3,14),1)+1 + TIME(2,0,0),
         DATE(YEAR(B57),4,7)-WEEKDAY(DATE(YEAR(B57),4,7),1)+1 + TIME(2,0,0)
       ),
  B57 &lt;  IF(
         YEAR(B57)&gt;=2007,
         DATE(YEAR(B57),11,7)-WEEKDAY(DATE(YEAR(B57),11,7),1)+1 + TIME(2,0,0),
         DATE(YEAR(B57),10,31)-WEEKDAY(DATE(YEAR(B57),10,31),1) + TIME(2,0,0)
       )
 ),
 "UTC-4",
 "UTC-5"
)</f>
        <v>UTC-5</v>
      </c>
      <c r="E57" s="1">
        <v>57.13</v>
      </c>
      <c r="F57" s="1">
        <v>57.13</v>
      </c>
      <c r="G57" s="1">
        <v>52.4</v>
      </c>
      <c r="H57" s="1">
        <v>53.69</v>
      </c>
    </row>
    <row r="58" spans="1:8" x14ac:dyDescent="0.35">
      <c r="A58" s="3">
        <v>46049</v>
      </c>
      <c r="B58" s="3">
        <v>46049</v>
      </c>
      <c r="C58" s="4">
        <v>0.67708333333333337</v>
      </c>
      <c r="D58" s="3" t="str">
        <f>IF(
 AND(
  B58 &gt;= IF(
         YEAR(B58)&gt;=2007,
         DATE(YEAR(B58),3,14)-WEEKDAY(DATE(YEAR(B58),3,14),1)+1 + TIME(2,0,0),
         DATE(YEAR(B58),4,7)-WEEKDAY(DATE(YEAR(B58),4,7),1)+1 + TIME(2,0,0)
       ),
  B58 &lt;  IF(
         YEAR(B58)&gt;=2007,
         DATE(YEAR(B58),11,7)-WEEKDAY(DATE(YEAR(B58),11,7),1)+1 + TIME(2,0,0),
         DATE(YEAR(B58),10,31)-WEEKDAY(DATE(YEAR(B58),10,31),1) + TIME(2,0,0)
       )
 ),
 "UTC-4",
 "UTC-5"
)</f>
        <v>UTC-5</v>
      </c>
      <c r="E58" s="1">
        <v>57.19</v>
      </c>
      <c r="F58" s="1">
        <v>57.24</v>
      </c>
      <c r="G58" s="1">
        <v>56.19</v>
      </c>
      <c r="H58" s="1">
        <v>56.9</v>
      </c>
    </row>
    <row r="59" spans="1:8" x14ac:dyDescent="0.35">
      <c r="A59" s="3">
        <v>46050</v>
      </c>
      <c r="B59" s="3">
        <v>46050</v>
      </c>
      <c r="C59" s="4">
        <v>0.67708333333333337</v>
      </c>
      <c r="D59" s="3" t="str">
        <f>IF(
 AND(
  B59 &gt;= IF(
         YEAR(B59)&gt;=2007,
         DATE(YEAR(B59),3,14)-WEEKDAY(DATE(YEAR(B59),3,14),1)+1 + TIME(2,0,0),
         DATE(YEAR(B59),4,7)-WEEKDAY(DATE(YEAR(B59),4,7),1)+1 + TIME(2,0,0)
       ),
  B59 &lt;  IF(
         YEAR(B59)&gt;=2007,
         DATE(YEAR(B59),11,7)-WEEKDAY(DATE(YEAR(B59),11,7),1)+1 + TIME(2,0,0),
         DATE(YEAR(B59),10,31)-WEEKDAY(DATE(YEAR(B59),10,31),1) + TIME(2,0,0)
       )
 ),
 "UTC-4",
 "UTC-5"
)</f>
        <v>UTC-5</v>
      </c>
      <c r="E59" s="1">
        <v>58.46</v>
      </c>
      <c r="F59" s="1">
        <v>60.24</v>
      </c>
      <c r="G59" s="1">
        <v>56.72</v>
      </c>
      <c r="H59" s="1">
        <v>58.97</v>
      </c>
    </row>
    <row r="60" spans="1:8" x14ac:dyDescent="0.35">
      <c r="A60" s="3">
        <v>46051</v>
      </c>
      <c r="B60" s="3">
        <v>46051</v>
      </c>
      <c r="C60" s="4">
        <v>0.67708333333333337</v>
      </c>
      <c r="D60" s="3" t="str">
        <f>IF(
 AND(
  B60 &gt;= IF(
         YEAR(B60)&gt;=2007,
         DATE(YEAR(B60),3,14)-WEEKDAY(DATE(YEAR(B60),3,14),1)+1 + TIME(2,0,0),
         DATE(YEAR(B60),4,7)-WEEKDAY(DATE(YEAR(B60),4,7),1)+1 + TIME(2,0,0)
       ),
  B60 &lt;  IF(
         YEAR(B60)&gt;=2007,
         DATE(YEAR(B60),11,7)-WEEKDAY(DATE(YEAR(B60),11,7),1)+1 + TIME(2,0,0),
         DATE(YEAR(B60),10,31)-WEEKDAY(DATE(YEAR(B60),10,31),1) + TIME(2,0,0)
       )
 ),
 "UTC-4",
 "UTC-5"
)</f>
        <v>UTC-5</v>
      </c>
      <c r="E60" s="1">
        <v>62.22</v>
      </c>
      <c r="F60" s="1">
        <v>63.73</v>
      </c>
      <c r="G60" s="1">
        <v>59.27</v>
      </c>
      <c r="H60" s="1">
        <v>59.84</v>
      </c>
    </row>
    <row r="61" spans="1:8" x14ac:dyDescent="0.35">
      <c r="A61" s="3">
        <v>46052</v>
      </c>
      <c r="B61" s="3">
        <v>46052</v>
      </c>
      <c r="C61" s="4">
        <v>0.67708333333333337</v>
      </c>
      <c r="D61" s="3" t="str">
        <f>IF(
 AND(
  B61 &gt;= IF(
         YEAR(B61)&gt;=2007,
         DATE(YEAR(B61),3,14)-WEEKDAY(DATE(YEAR(B61),3,14),1)+1 + TIME(2,0,0),
         DATE(YEAR(B61),4,7)-WEEKDAY(DATE(YEAR(B61),4,7),1)+1 + TIME(2,0,0)
       ),
  B61 &lt;  IF(
         YEAR(B61)&gt;=2007,
         DATE(YEAR(B61),11,7)-WEEKDAY(DATE(YEAR(B61),11,7),1)+1 + TIME(2,0,0),
         DATE(YEAR(B61),10,31)-WEEKDAY(DATE(YEAR(B61),10,31),1) + TIME(2,0,0)
       )
 ),
 "UTC-4",
 "UTC-5"
)</f>
        <v>UTC-5</v>
      </c>
      <c r="E61" s="1">
        <v>61.49</v>
      </c>
      <c r="F61" s="1">
        <v>66.459999999999994</v>
      </c>
      <c r="G61" s="1">
        <v>59.31</v>
      </c>
      <c r="H61" s="1">
        <v>61.08</v>
      </c>
    </row>
    <row r="62" spans="1:8" x14ac:dyDescent="0.35">
      <c r="A62" s="3">
        <v>46055</v>
      </c>
      <c r="B62" s="3">
        <v>46055</v>
      </c>
      <c r="C62" s="4">
        <v>0.67708333333333337</v>
      </c>
      <c r="D62" s="3" t="str">
        <f>IF(
 AND(
  B62 &gt;= IF(
         YEAR(B62)&gt;=2007,
         DATE(YEAR(B62),3,14)-WEEKDAY(DATE(YEAR(B62),3,14),1)+1 + TIME(2,0,0),
         DATE(YEAR(B62),4,7)-WEEKDAY(DATE(YEAR(B62),4,7),1)+1 + TIME(2,0,0)
       ),
  B62 &lt;  IF(
         YEAR(B62)&gt;=2007,
         DATE(YEAR(B62),11,7)-WEEKDAY(DATE(YEAR(B62),11,7),1)+1 + TIME(2,0,0),
         DATE(YEAR(B62),10,31)-WEEKDAY(DATE(YEAR(B62),10,31),1) + TIME(2,0,0)
       )
 ),
 "UTC-4",
 "UTC-5"
)</f>
        <v>UTC-5</v>
      </c>
      <c r="E62" s="1">
        <v>57.23</v>
      </c>
      <c r="F62" s="1">
        <v>63.81</v>
      </c>
      <c r="G62" s="1">
        <v>57.19</v>
      </c>
      <c r="H62" s="1">
        <v>63.8</v>
      </c>
    </row>
    <row r="63" spans="1:8" x14ac:dyDescent="0.35">
      <c r="A63" s="3">
        <v>46056</v>
      </c>
      <c r="B63" s="3">
        <v>46056</v>
      </c>
      <c r="C63" s="4">
        <v>0.67708333333333337</v>
      </c>
      <c r="D63" s="3" t="str">
        <f>IF(
 AND(
  B63 &gt;= IF(
         YEAR(B63)&gt;=2007,
         DATE(YEAR(B63),3,14)-WEEKDAY(DATE(YEAR(B63),3,14),1)+1 + TIME(2,0,0),
         DATE(YEAR(B63),4,7)-WEEKDAY(DATE(YEAR(B63),4,7),1)+1 + TIME(2,0,0)
       ),
  B63 &lt;  IF(
         YEAR(B63)&gt;=2007,
         DATE(YEAR(B63),11,7)-WEEKDAY(DATE(YEAR(B63),11,7),1)+1 + TIME(2,0,0),
         DATE(YEAR(B63),10,31)-WEEKDAY(DATE(YEAR(B63),10,31),1) + TIME(2,0,0)
       )
 ),
 "UTC-4",
 "UTC-5"
)</f>
        <v>UTC-5</v>
      </c>
      <c r="E63" s="1">
        <v>59.06</v>
      </c>
      <c r="F63" s="1">
        <v>59.14</v>
      </c>
      <c r="G63" s="1">
        <v>57.21</v>
      </c>
      <c r="H63" s="1">
        <v>58.02</v>
      </c>
    </row>
    <row r="64" spans="1:8" x14ac:dyDescent="0.35">
      <c r="A64" s="3">
        <v>46057</v>
      </c>
      <c r="B64" s="3">
        <v>46057</v>
      </c>
      <c r="C64" s="4">
        <v>0.67708333333333337</v>
      </c>
      <c r="D64" s="3" t="str">
        <f>IF(
 AND(
  B64 &gt;= IF(
         YEAR(B64)&gt;=2007,
         DATE(YEAR(B64),3,14)-WEEKDAY(DATE(YEAR(B64),3,14),1)+1 + TIME(2,0,0),
         DATE(YEAR(B64),4,7)-WEEKDAY(DATE(YEAR(B64),4,7),1)+1 + TIME(2,0,0)
       ),
  B64 &lt;  IF(
         YEAR(B64)&gt;=2007,
         DATE(YEAR(B64),11,7)-WEEKDAY(DATE(YEAR(B64),11,7),1)+1 + TIME(2,0,0),
         DATE(YEAR(B64),10,31)-WEEKDAY(DATE(YEAR(B64),10,31),1) + TIME(2,0,0)
       )
 ),
 "UTC-4",
 "UTC-5"
)</f>
        <v>UTC-5</v>
      </c>
      <c r="E64" s="1">
        <v>58.56</v>
      </c>
      <c r="F64" s="1">
        <v>58.94</v>
      </c>
      <c r="G64" s="1">
        <v>57.74</v>
      </c>
      <c r="H64" s="1">
        <v>58.58</v>
      </c>
    </row>
    <row r="65" spans="1:8" x14ac:dyDescent="0.35">
      <c r="A65" s="3">
        <v>46058</v>
      </c>
      <c r="B65" s="3">
        <v>46058</v>
      </c>
      <c r="C65" s="4">
        <v>0.67708333333333337</v>
      </c>
      <c r="D65" s="3" t="str">
        <f>IF(
 AND(
  B65 &gt;= IF(
         YEAR(B65)&gt;=2007,
         DATE(YEAR(B65),3,14)-WEEKDAY(DATE(YEAR(B65),3,14),1)+1 + TIME(2,0,0),
         DATE(YEAR(B65),4,7)-WEEKDAY(DATE(YEAR(B65),4,7),1)+1 + TIME(2,0,0)
       ),
  B65 &lt;  IF(
         YEAR(B65)&gt;=2007,
         DATE(YEAR(B65),11,7)-WEEKDAY(DATE(YEAR(B65),11,7),1)+1 + TIME(2,0,0),
         DATE(YEAR(B65),10,31)-WEEKDAY(DATE(YEAR(B65),10,31),1) + TIME(2,0,0)
       )
 ),
 "UTC-4",
 "UTC-5"
)</f>
        <v>UTC-5</v>
      </c>
      <c r="E65" s="1">
        <v>55.74</v>
      </c>
      <c r="F65" s="1">
        <v>59.95</v>
      </c>
      <c r="G65" s="1">
        <v>55.57</v>
      </c>
      <c r="H65" s="1">
        <v>59.82</v>
      </c>
    </row>
    <row r="66" spans="1:8" x14ac:dyDescent="0.35">
      <c r="A66" s="3">
        <v>46059</v>
      </c>
      <c r="B66" s="3">
        <v>46059</v>
      </c>
      <c r="C66" s="4">
        <v>0.67708333333333337</v>
      </c>
      <c r="D66" s="3" t="str">
        <f>IF(
 AND(
  B66 &gt;= IF(
         YEAR(B66)&gt;=2007,
         DATE(YEAR(B66),3,14)-WEEKDAY(DATE(YEAR(B66),3,14),1)+1 + TIME(2,0,0),
         DATE(YEAR(B66),4,7)-WEEKDAY(DATE(YEAR(B66),4,7),1)+1 + TIME(2,0,0)
       ),
  B66 &lt;  IF(
         YEAR(B66)&gt;=2007,
         DATE(YEAR(B66),11,7)-WEEKDAY(DATE(YEAR(B66),11,7),1)+1 + TIME(2,0,0),
         DATE(YEAR(B66),10,31)-WEEKDAY(DATE(YEAR(B66),10,31),1) + TIME(2,0,0)
       )
 ),
 "UTC-4",
 "UTC-5"
)</f>
        <v>UTC-5</v>
      </c>
      <c r="E66" s="1">
        <v>54.89</v>
      </c>
      <c r="F66" s="1">
        <v>57.62</v>
      </c>
      <c r="G66" s="1">
        <v>54.67</v>
      </c>
      <c r="H66" s="1">
        <v>57.27</v>
      </c>
    </row>
    <row r="67" spans="1:8" x14ac:dyDescent="0.35">
      <c r="A67" s="3">
        <v>46062</v>
      </c>
      <c r="B67" s="3">
        <v>46062</v>
      </c>
      <c r="C67" s="4">
        <v>0.67708333333333337</v>
      </c>
      <c r="D67" s="3" t="str">
        <f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UTC-5</v>
      </c>
      <c r="E67" s="1">
        <v>54.58</v>
      </c>
      <c r="F67" s="1">
        <v>57.27</v>
      </c>
      <c r="G67" s="1">
        <v>53.58</v>
      </c>
      <c r="H67" s="1">
        <v>57.27</v>
      </c>
    </row>
    <row r="68" spans="1:8" x14ac:dyDescent="0.35">
      <c r="A68" s="3">
        <v>46063</v>
      </c>
      <c r="B68" s="3">
        <v>46063</v>
      </c>
      <c r="C68" s="4">
        <v>0.67708333333333337</v>
      </c>
      <c r="D68" s="3" t="str">
        <f>IF(
 AND(
  B68 &gt;= IF(
         YEAR(B68)&gt;=2007,
         DATE(YEAR(B68),3,14)-WEEKDAY(DATE(YEAR(B68),3,14),1)+1 + TIME(2,0,0),
         DATE(YEAR(B68),4,7)-WEEKDAY(DATE(YEAR(B68),4,7),1)+1 + TIME(2,0,0)
       ),
  B68 &lt;  IF(
         YEAR(B68)&gt;=2007,
         DATE(YEAR(B68),11,7)-WEEKDAY(DATE(YEAR(B68),11,7),1)+1 + TIME(2,0,0),
         DATE(YEAR(B68),10,31)-WEEKDAY(DATE(YEAR(B68),10,31),1) + TIME(2,0,0)
       )
 ),
 "UTC-4",
 "UTC-5"
)</f>
        <v>UTC-5</v>
      </c>
      <c r="E68" s="1">
        <v>51.48</v>
      </c>
      <c r="F68" s="1">
        <v>54.86</v>
      </c>
      <c r="G68" s="1">
        <v>51.48</v>
      </c>
      <c r="H68" s="1">
        <v>54.83</v>
      </c>
    </row>
    <row r="69" spans="1:8" x14ac:dyDescent="0.35">
      <c r="A69" s="3">
        <v>46064</v>
      </c>
      <c r="B69" s="3">
        <v>46064</v>
      </c>
      <c r="C69" s="4">
        <v>0.67708333333333337</v>
      </c>
      <c r="D69" s="3" t="str">
        <f>IF(
 AND(
  B69 &gt;= IF(
         YEAR(B69)&gt;=2007,
         DATE(YEAR(B69),3,14)-WEEKDAY(DATE(YEAR(B69),3,14),1)+1 + TIME(2,0,0),
         DATE(YEAR(B69),4,7)-WEEKDAY(DATE(YEAR(B69),4,7),1)+1 + TIME(2,0,0)
       ),
  B69 &lt;  IF(
         YEAR(B69)&gt;=2007,
         DATE(YEAR(B69),11,7)-WEEKDAY(DATE(YEAR(B69),11,7),1)+1 + TIME(2,0,0),
         DATE(YEAR(B69),10,31)-WEEKDAY(DATE(YEAR(B69),10,31),1) + TIME(2,0,0)
       )
 ),
 "UTC-4",
 "UTC-5"
)</f>
        <v>UTC-5</v>
      </c>
      <c r="E69" s="1">
        <v>49.88</v>
      </c>
      <c r="F69" s="1">
        <v>51.44</v>
      </c>
      <c r="G69" s="1">
        <v>49.43</v>
      </c>
      <c r="H69" s="1">
        <v>51.08</v>
      </c>
    </row>
    <row r="70" spans="1:8" x14ac:dyDescent="0.35">
      <c r="A70" s="3">
        <v>46065</v>
      </c>
      <c r="B70" s="3">
        <v>46065</v>
      </c>
      <c r="C70" s="4">
        <v>0.67708333333333337</v>
      </c>
      <c r="D70" s="3" t="str">
        <f>IF(
 AND(
  B70 &gt;= IF(
         YEAR(B70)&gt;=2007,
         DATE(YEAR(B70),3,14)-WEEKDAY(DATE(YEAR(B70),3,14),1)+1 + TIME(2,0,0),
         DATE(YEAR(B70),4,7)-WEEKDAY(DATE(YEAR(B70),4,7),1)+1 + TIME(2,0,0)
       ),
  B70 &lt;  IF(
         YEAR(B70)&gt;=2007,
         DATE(YEAR(B70),11,7)-WEEKDAY(DATE(YEAR(B70),11,7),1)+1 + TIME(2,0,0),
         DATE(YEAR(B70),10,31)-WEEKDAY(DATE(YEAR(B70),10,31),1) + TIME(2,0,0)
       )
 ),
 "UTC-4",
 "UTC-5"
)</f>
        <v>UTC-5</v>
      </c>
      <c r="E70" s="1">
        <v>51.25</v>
      </c>
      <c r="F70" s="1">
        <v>51.86</v>
      </c>
      <c r="G70" s="1">
        <v>49.34</v>
      </c>
      <c r="H70" s="1">
        <v>50.95</v>
      </c>
    </row>
    <row r="71" spans="1:8" x14ac:dyDescent="0.35">
      <c r="A71" s="3">
        <v>46066</v>
      </c>
      <c r="B71" s="3">
        <v>46066</v>
      </c>
      <c r="C71" s="4">
        <v>0.67708333333333337</v>
      </c>
      <c r="D71" s="3" t="str">
        <f>IF(
 AND(
  B71 &gt;= IF(
         YEAR(B71)&gt;=2007,
         DATE(YEAR(B71),3,14)-WEEKDAY(DATE(YEAR(B71),3,14),1)+1 + TIME(2,0,0),
         DATE(YEAR(B71),4,7)-WEEKDAY(DATE(YEAR(B71),4,7),1)+1 + TIME(2,0,0)
       ),
  B71 &lt;  IF(
         YEAR(B71)&gt;=2007,
         DATE(YEAR(B71),11,7)-WEEKDAY(DATE(YEAR(B71),11,7),1)+1 + TIME(2,0,0),
         DATE(YEAR(B71),10,31)-WEEKDAY(DATE(YEAR(B71),10,31),1) + TIME(2,0,0)
       )
 ),
 "UTC-4",
 "UTC-5"
)</f>
        <v>UTC-5</v>
      </c>
      <c r="E71" s="1">
        <v>52.61</v>
      </c>
      <c r="F71" s="1">
        <v>52.98</v>
      </c>
      <c r="G71" s="1">
        <v>51.25</v>
      </c>
      <c r="H71" s="1">
        <v>52.08</v>
      </c>
    </row>
    <row r="72" spans="1:8" x14ac:dyDescent="0.35">
      <c r="A72" s="3">
        <v>46070</v>
      </c>
      <c r="B72" s="3">
        <v>46070</v>
      </c>
      <c r="C72" s="4">
        <v>0.67708333333333337</v>
      </c>
      <c r="D72" s="3" t="str">
        <f>IF(
 AND(
  B72 &gt;= IF(
         YEAR(B72)&gt;=2007,
         DATE(YEAR(B72),3,14)-WEEKDAY(DATE(YEAR(B72),3,14),1)+1 + TIME(2,0,0),
         DATE(YEAR(B72),4,7)-WEEKDAY(DATE(YEAR(B72),4,7),1)+1 + TIME(2,0,0)
       ),
  B72 &lt;  IF(
         YEAR(B72)&gt;=2007,
         DATE(YEAR(B72),11,7)-WEEKDAY(DATE(YEAR(B72),11,7),1)+1 + TIME(2,0,0),
         DATE(YEAR(B72),10,31)-WEEKDAY(DATE(YEAR(B72),10,31),1) + TIME(2,0,0)
       )
 ),
 "UTC-4",
 "UTC-5"
)</f>
        <v>UTC-5</v>
      </c>
      <c r="E72" s="1">
        <v>54.13</v>
      </c>
      <c r="F72" s="1">
        <v>54.96</v>
      </c>
      <c r="G72" s="1">
        <v>51.77</v>
      </c>
      <c r="H72" s="1">
        <v>51.82</v>
      </c>
    </row>
    <row r="73" spans="1:8" x14ac:dyDescent="0.35">
      <c r="A73" s="3">
        <v>46071</v>
      </c>
      <c r="B73" s="3">
        <v>46071</v>
      </c>
      <c r="C73" s="4">
        <v>0.67708333333333337</v>
      </c>
      <c r="D73" s="3" t="str">
        <f>IF(
 AND(
  B73 &gt;= IF(
         YEAR(B73)&gt;=2007,
         DATE(YEAR(B73),3,14)-WEEKDAY(DATE(YEAR(B73),3,14),1)+1 + TIME(2,0,0),
         DATE(YEAR(B73),4,7)-WEEKDAY(DATE(YEAR(B73),4,7),1)+1 + TIME(2,0,0)
       ),
  B73 &lt;  IF(
         YEAR(B73)&gt;=2007,
         DATE(YEAR(B73),11,7)-WEEKDAY(DATE(YEAR(B73),11,7),1)+1 + TIME(2,0,0),
         DATE(YEAR(B73),10,31)-WEEKDAY(DATE(YEAR(B73),10,31),1) + TIME(2,0,0)
       )
 ),
 "UTC-4",
 "UTC-5"
)</f>
        <v>UTC-5</v>
      </c>
      <c r="E73" s="1">
        <v>51.59</v>
      </c>
      <c r="F73" s="1">
        <v>53.76</v>
      </c>
      <c r="G73" s="1">
        <v>51.09</v>
      </c>
      <c r="H73" s="1">
        <v>53.26</v>
      </c>
    </row>
    <row r="74" spans="1:8" x14ac:dyDescent="0.35">
      <c r="A74" s="3">
        <v>46072</v>
      </c>
      <c r="B74" s="3">
        <v>46072</v>
      </c>
      <c r="C74" s="4">
        <v>0.67708333333333337</v>
      </c>
      <c r="D74" s="3" t="str">
        <f>IF(
 AND(
  B74 &gt;= IF(
         YEAR(B74)&gt;=2007,
         DATE(YEAR(B74),3,14)-WEEKDAY(DATE(YEAR(B74),3,14),1)+1 + TIME(2,0,0),
         DATE(YEAR(B74),4,7)-WEEKDAY(DATE(YEAR(B74),4,7),1)+1 + TIME(2,0,0)
       ),
  B74 &lt;  IF(
         YEAR(B74)&gt;=2007,
         DATE(YEAR(B74),11,7)-WEEKDAY(DATE(YEAR(B74),11,7),1)+1 + TIME(2,0,0),
         DATE(YEAR(B74),10,31)-WEEKDAY(DATE(YEAR(B74),10,31),1) + TIME(2,0,0)
       )
 ),
 "UTC-4",
 "UTC-5"
)</f>
        <v>UTC-5</v>
      </c>
      <c r="E74" s="1">
        <v>52.27</v>
      </c>
      <c r="F74" s="1">
        <v>52.54</v>
      </c>
      <c r="G74" s="1">
        <v>50.58</v>
      </c>
      <c r="H74" s="1">
        <v>51.19</v>
      </c>
    </row>
    <row r="75" spans="1:8" x14ac:dyDescent="0.35">
      <c r="A75" s="3">
        <v>46073</v>
      </c>
      <c r="B75" s="3">
        <v>46073</v>
      </c>
      <c r="C75" s="4">
        <v>0.67708333333333337</v>
      </c>
      <c r="D75" s="3" t="str">
        <f>IF(
 AND(
  B75 &gt;= IF(
         YEAR(B75)&gt;=2007,
         DATE(YEAR(B75),3,14)-WEEKDAY(DATE(YEAR(B75),3,14),1)+1 + TIME(2,0,0),
         DATE(YEAR(B75),4,7)-WEEKDAY(DATE(YEAR(B75),4,7),1)+1 + TIME(2,0,0)
       ),
  B75 &lt;  IF(
         YEAR(B75)&gt;=2007,
         DATE(YEAR(B75),11,7)-WEEKDAY(DATE(YEAR(B75),11,7),1)+1 + TIME(2,0,0),
         DATE(YEAR(B75),10,31)-WEEKDAY(DATE(YEAR(B75),10,31),1) + TIME(2,0,0)
       )
 ),
 "UTC-4",
 "UTC-5"
)</f>
        <v>UTC-5</v>
      </c>
      <c r="E75" s="1">
        <v>53.91</v>
      </c>
      <c r="F75" s="1">
        <v>54.08</v>
      </c>
      <c r="G75" s="1">
        <v>50.81</v>
      </c>
      <c r="H75" s="1">
        <v>51.3</v>
      </c>
    </row>
    <row r="76" spans="1:8" x14ac:dyDescent="0.35">
      <c r="A76" s="3">
        <v>46076</v>
      </c>
      <c r="B76" s="3">
        <v>46076</v>
      </c>
      <c r="C76" s="4">
        <v>0.67708333333333337</v>
      </c>
      <c r="D76" s="3" t="str">
        <f>IF(
 AND(
  B76 &gt;= IF(
         YEAR(B76)&gt;=2007,
         DATE(YEAR(B76),3,14)-WEEKDAY(DATE(YEAR(B76),3,14),1)+1 + TIME(2,0,0),
         DATE(YEAR(B76),4,7)-WEEKDAY(DATE(YEAR(B76),4,7),1)+1 + TIME(2,0,0)
       ),
  B76 &lt;  IF(
         YEAR(B76)&gt;=2007,
         DATE(YEAR(B76),11,7)-WEEKDAY(DATE(YEAR(B76),11,7),1)+1 + TIME(2,0,0),
         DATE(YEAR(B76),10,31)-WEEKDAY(DATE(YEAR(B76),10,31),1) + TIME(2,0,0)
       )
 ),
 "UTC-4",
 "UTC-5"
)</f>
        <v>UTC-5</v>
      </c>
      <c r="E76" s="1">
        <v>56.96</v>
      </c>
      <c r="F76" s="1">
        <v>56.96</v>
      </c>
      <c r="G76" s="1">
        <v>53.66</v>
      </c>
      <c r="H76" s="1">
        <v>54.13</v>
      </c>
    </row>
    <row r="77" spans="1:8" x14ac:dyDescent="0.35">
      <c r="A77" s="3">
        <v>46077</v>
      </c>
      <c r="B77" s="3">
        <v>46077</v>
      </c>
      <c r="C77" s="4">
        <v>0.67708333333333337</v>
      </c>
      <c r="D77" s="3" t="str">
        <f>IF(
 AND(
  B77 &gt;= IF(
         YEAR(B77)&gt;=2007,
         DATE(YEAR(B77),3,14)-WEEKDAY(DATE(YEAR(B77),3,14),1)+1 + TIME(2,0,0),
         DATE(YEAR(B77),4,7)-WEEKDAY(DATE(YEAR(B77),4,7),1)+1 + TIME(2,0,0)
       ),
  B77 &lt;  IF(
         YEAR(B77)&gt;=2007,
         DATE(YEAR(B77),11,7)-WEEKDAY(DATE(YEAR(B77),11,7),1)+1 + TIME(2,0,0),
         DATE(YEAR(B77),10,31)-WEEKDAY(DATE(YEAR(B77),10,31),1) + TIME(2,0,0)
       )
 ),
 "UTC-4",
 "UTC-5"
)</f>
        <v>UTC-5</v>
      </c>
      <c r="E77" s="1">
        <v>56.35</v>
      </c>
      <c r="F77" s="1">
        <v>57.68</v>
      </c>
      <c r="G77" s="1">
        <v>56.31</v>
      </c>
      <c r="H77" s="1">
        <v>57.54</v>
      </c>
    </row>
    <row r="78" spans="1:8" x14ac:dyDescent="0.35">
      <c r="A78" s="3">
        <v>46078</v>
      </c>
      <c r="B78" s="3">
        <v>46078</v>
      </c>
      <c r="C78" s="4">
        <v>0.67708333333333337</v>
      </c>
      <c r="D78" s="3" t="str">
        <f>IF(
 AND(
  B78 &gt;= IF(
         YEAR(B78)&gt;=2007,
         DATE(YEAR(B78),3,14)-WEEKDAY(DATE(YEAR(B78),3,14),1)+1 + TIME(2,0,0),
         DATE(YEAR(B78),4,7)-WEEKDAY(DATE(YEAR(B78),4,7),1)+1 + TIME(2,0,0)
       ),
  B78 &lt;  IF(
         YEAR(B78)&gt;=2007,
         DATE(YEAR(B78),11,7)-WEEKDAY(DATE(YEAR(B78),11,7),1)+1 + TIME(2,0,0),
         DATE(YEAR(B78),10,31)-WEEKDAY(DATE(YEAR(B78),10,31),1) + TIME(2,0,0)
       )
 ),
 "UTC-4",
 "UTC-5"
)</f>
        <v>UTC-5</v>
      </c>
      <c r="E78" s="1">
        <v>53.63</v>
      </c>
      <c r="F78" s="1">
        <v>55.82</v>
      </c>
      <c r="G78" s="1">
        <v>53.57</v>
      </c>
      <c r="H78" s="1">
        <v>55.82</v>
      </c>
    </row>
    <row r="79" spans="1:8" x14ac:dyDescent="0.35">
      <c r="A79" s="3">
        <v>46079</v>
      </c>
      <c r="B79" s="3">
        <v>46079</v>
      </c>
      <c r="C79" s="4">
        <v>0.67708333333333337</v>
      </c>
      <c r="D79" s="3" t="str">
        <f>IF(
 AND(
  B79 &gt;= IF(
         YEAR(B79)&gt;=2007,
         DATE(YEAR(B79),3,14)-WEEKDAY(DATE(YEAR(B79),3,14),1)+1 + TIME(2,0,0),
         DATE(YEAR(B79),4,7)-WEEKDAY(DATE(YEAR(B79),4,7),1)+1 + TIME(2,0,0)
       ),
  B79 &lt;  IF(
         YEAR(B79)&gt;=2007,
         DATE(YEAR(B79),11,7)-WEEKDAY(DATE(YEAR(B79),11,7),1)+1 + TIME(2,0,0),
         DATE(YEAR(B79),10,31)-WEEKDAY(DATE(YEAR(B79),10,31),1) + TIME(2,0,0)
       )
 ),
 "UTC-4",
 "UTC-5"
)</f>
        <v>UTC-5</v>
      </c>
      <c r="E79" s="1">
        <v>51.4</v>
      </c>
      <c r="F79" s="1">
        <v>54.63</v>
      </c>
      <c r="G79" s="1">
        <v>51.4</v>
      </c>
      <c r="H79" s="1">
        <v>54.19</v>
      </c>
    </row>
    <row r="80" spans="1:8" x14ac:dyDescent="0.35">
      <c r="A80" s="3">
        <v>46080</v>
      </c>
      <c r="B80" s="3">
        <v>46080</v>
      </c>
      <c r="C80" s="4">
        <v>0.67708333333333337</v>
      </c>
      <c r="D80" s="3" t="str">
        <f>IF(
 AND(
  B80 &gt;= IF(
         YEAR(B80)&gt;=2007,
         DATE(YEAR(B80),3,14)-WEEKDAY(DATE(YEAR(B80),3,14),1)+1 + TIME(2,0,0),
         DATE(YEAR(B80),4,7)-WEEKDAY(DATE(YEAR(B80),4,7),1)+1 + TIME(2,0,0)
       ),
  B80 &lt;  IF(
         YEAR(B80)&gt;=2007,
         DATE(YEAR(B80),11,7)-WEEKDAY(DATE(YEAR(B80),11,7),1)+1 + TIME(2,0,0),
         DATE(YEAR(B80),10,31)-WEEKDAY(DATE(YEAR(B80),10,31),1) + TIME(2,0,0)
       )
 ),
 "UTC-4",
 "UTC-5"
)</f>
        <v>UTC-5</v>
      </c>
      <c r="E80" s="1">
        <v>51.54</v>
      </c>
      <c r="F80" s="1">
        <v>51.71</v>
      </c>
      <c r="G80" s="1">
        <v>49.78</v>
      </c>
      <c r="H80" s="1">
        <v>51.24</v>
      </c>
    </row>
    <row r="81" spans="1:8" x14ac:dyDescent="0.35">
      <c r="A81" s="3">
        <v>46083</v>
      </c>
      <c r="B81" s="3">
        <v>46083</v>
      </c>
      <c r="C81" s="4">
        <v>0.67708333333333337</v>
      </c>
      <c r="D81" s="3" t="str">
        <f>IF(
 AND(
  B81 &gt;= IF(
         YEAR(B81)&gt;=2007,
         DATE(YEAR(B81),3,14)-WEEKDAY(DATE(YEAR(B81),3,14),1)+1 + TIME(2,0,0),
         DATE(YEAR(B81),4,7)-WEEKDAY(DATE(YEAR(B81),4,7),1)+1 + TIME(2,0,0)
       ),
  B81 &lt;  IF(
         YEAR(B81)&gt;=2007,
         DATE(YEAR(B81),11,7)-WEEKDAY(DATE(YEAR(B81),11,7),1)+1 + TIME(2,0,0),
         DATE(YEAR(B81),10,31)-WEEKDAY(DATE(YEAR(B81),10,31),1) + TIME(2,0,0)
       )
 ),
 "UTC-4",
 "UTC-5"
)</f>
        <v>UTC-5</v>
      </c>
      <c r="E81" s="1">
        <v>55.18</v>
      </c>
      <c r="F81" s="1">
        <v>55.18</v>
      </c>
      <c r="G81" s="1">
        <v>51.49</v>
      </c>
      <c r="H81" s="1">
        <v>53.5</v>
      </c>
    </row>
    <row r="82" spans="1:8" x14ac:dyDescent="0.35">
      <c r="A82" s="3">
        <v>46084</v>
      </c>
      <c r="B82" s="3">
        <v>46084</v>
      </c>
      <c r="C82" s="4">
        <v>0.67708333333333337</v>
      </c>
      <c r="D82" s="3" t="str">
        <f>IF(
 AND(
  B82 &gt;= IF(
         YEAR(B82)&gt;=2007,
         DATE(YEAR(B82),3,14)-WEEKDAY(DATE(YEAR(B82),3,14),1)+1 + TIME(2,0,0),
         DATE(YEAR(B82),4,7)-WEEKDAY(DATE(YEAR(B82),4,7),1)+1 + TIME(2,0,0)
       ),
  B82 &lt;  IF(
         YEAR(B82)&gt;=2007,
         DATE(YEAR(B82),11,7)-WEEKDAY(DATE(YEAR(B82),11,7),1)+1 + TIME(2,0,0),
         DATE(YEAR(B82),10,31)-WEEKDAY(DATE(YEAR(B82),10,31),1) + TIME(2,0,0)
       )
 ),
 "UTC-4",
 "UTC-5"
)</f>
        <v>UTC-5</v>
      </c>
      <c r="E82" s="1">
        <v>60.05</v>
      </c>
      <c r="F82" s="1">
        <v>61.22</v>
      </c>
      <c r="G82" s="1">
        <v>58.98</v>
      </c>
      <c r="H82" s="1">
        <v>59.42</v>
      </c>
    </row>
    <row r="83" spans="1:8" x14ac:dyDescent="0.35">
      <c r="A83" s="3">
        <v>46085</v>
      </c>
      <c r="B83" s="3">
        <v>46085</v>
      </c>
      <c r="C83" s="4">
        <v>0.67708333333333337</v>
      </c>
      <c r="D83" s="3" t="str">
        <f>IF(
 AND(
  B83 &gt;= IF(
         YEAR(B83)&gt;=2007,
         DATE(YEAR(B83),3,14)-WEEKDAY(DATE(YEAR(B83),3,14),1)+1 + TIME(2,0,0),
         DATE(YEAR(B83),4,7)-WEEKDAY(DATE(YEAR(B83),4,7),1)+1 + TIME(2,0,0)
       ),
  B83 &lt;  IF(
         YEAR(B83)&gt;=2007,
         DATE(YEAR(B83),11,7)-WEEKDAY(DATE(YEAR(B83),11,7),1)+1 + TIME(2,0,0),
         DATE(YEAR(B83),10,31)-WEEKDAY(DATE(YEAR(B83),10,31),1) + TIME(2,0,0)
       )
 ),
 "UTC-4",
 "UTC-5"
)</f>
        <v>UTC-5</v>
      </c>
      <c r="E83" s="1">
        <v>56</v>
      </c>
      <c r="F83" s="1">
        <v>59.69</v>
      </c>
      <c r="G83" s="1">
        <v>55.82</v>
      </c>
      <c r="H83" s="1">
        <v>59.69</v>
      </c>
    </row>
    <row r="84" spans="1:8" x14ac:dyDescent="0.35">
      <c r="A84" s="3">
        <v>46086</v>
      </c>
      <c r="B84" s="3">
        <v>46086</v>
      </c>
      <c r="C84" s="4">
        <v>0.67708333333333337</v>
      </c>
      <c r="D84" s="3" t="str">
        <f>IF(
 AND(
  B84 &gt;= IF(
         YEAR(B84)&gt;=2007,
         DATE(YEAR(B84),3,14)-WEEKDAY(DATE(YEAR(B84),3,14),1)+1 + TIME(2,0,0),
         DATE(YEAR(B84),4,7)-WEEKDAY(DATE(YEAR(B84),4,7),1)+1 + TIME(2,0,0)
       ),
  B84 &lt;  IF(
         YEAR(B84)&gt;=2007,
         DATE(YEAR(B84),11,7)-WEEKDAY(DATE(YEAR(B84),11,7),1)+1 + TIME(2,0,0),
         DATE(YEAR(B84),10,31)-WEEKDAY(DATE(YEAR(B84),10,31),1) + TIME(2,0,0)
       )
 ),
 "UTC-4",
 "UTC-5"
)</f>
        <v>UTC-5</v>
      </c>
      <c r="E84" s="1">
        <v>56.12</v>
      </c>
      <c r="F84" s="1">
        <v>56.6</v>
      </c>
      <c r="G84" s="1">
        <v>54.35</v>
      </c>
      <c r="H84" s="1">
        <v>56.56</v>
      </c>
    </row>
    <row r="85" spans="1:8" x14ac:dyDescent="0.35">
      <c r="A85" s="3">
        <v>46087</v>
      </c>
      <c r="B85" s="3">
        <v>46087</v>
      </c>
      <c r="C85" s="4">
        <v>0.67708333333333337</v>
      </c>
      <c r="D85" s="3" t="str">
        <f>IF(
 AND(
  B85 &gt;= IF(
         YEAR(B85)&gt;=2007,
         DATE(YEAR(B85),3,14)-WEEKDAY(DATE(YEAR(B85),3,14),1)+1 + TIME(2,0,0),
         DATE(YEAR(B85),4,7)-WEEKDAY(DATE(YEAR(B85),4,7),1)+1 + TIME(2,0,0)
       ),
  B85 &lt;  IF(
         YEAR(B85)&gt;=2007,
         DATE(YEAR(B85),11,7)-WEEKDAY(DATE(YEAR(B85),11,7),1)+1 + TIME(2,0,0),
         DATE(YEAR(B85),10,31)-WEEKDAY(DATE(YEAR(B85),10,31),1) + TIME(2,0,0)
       )
 ),
 "UTC-4",
 "UTC-5"
)</f>
        <v>UTC-5</v>
      </c>
      <c r="E85" s="1">
        <v>57.05</v>
      </c>
      <c r="F85" s="1">
        <v>58.17</v>
      </c>
      <c r="G85" s="1">
        <v>56.34</v>
      </c>
      <c r="H85" s="1">
        <v>56.87</v>
      </c>
    </row>
    <row r="86" spans="1:8" x14ac:dyDescent="0.35">
      <c r="A86" s="3">
        <v>46090</v>
      </c>
      <c r="B86" s="3">
        <v>46090</v>
      </c>
      <c r="C86" s="4">
        <v>0.67708333333333337</v>
      </c>
      <c r="D86" s="3" t="str">
        <f>IF(
 AND(
  B86 &gt;= IF(
         YEAR(B86)&gt;=2007,
         DATE(YEAR(B86),3,14)-WEEKDAY(DATE(YEAR(B86),3,14),1)+1 + TIME(2,0,0),
         DATE(YEAR(B86),4,7)-WEEKDAY(DATE(YEAR(B86),4,7),1)+1 + TIME(2,0,0)
       ),
  B86 &lt;  IF(
         YEAR(B86)&gt;=2007,
         DATE(YEAR(B86),11,7)-WEEKDAY(DATE(YEAR(B86),11,7),1)+1 + TIME(2,0,0),
         DATE(YEAR(B86),10,31)-WEEKDAY(DATE(YEAR(B86),10,31),1) + TIME(2,0,0)
       )
 ),
 "UTC-4",
 "UTC-5"
)</f>
        <v>UTC-4</v>
      </c>
      <c r="E86" s="1">
        <v>55.97</v>
      </c>
      <c r="F86" s="1">
        <v>57.89</v>
      </c>
      <c r="G86" s="1">
        <v>55.5</v>
      </c>
      <c r="H86" s="1">
        <v>57.75</v>
      </c>
    </row>
    <row r="87" spans="1:8" x14ac:dyDescent="0.35">
      <c r="A87" s="3">
        <v>46091</v>
      </c>
      <c r="B87" s="3">
        <v>46091</v>
      </c>
      <c r="C87" s="4">
        <v>0.67708333333333337</v>
      </c>
      <c r="D87" s="3" t="str">
        <f>IF(
 AND(
  B87 &gt;= IF(
         YEAR(B87)&gt;=2007,
         DATE(YEAR(B87),3,14)-WEEKDAY(DATE(YEAR(B87),3,14),1)+1 + TIME(2,0,0),
         DATE(YEAR(B87),4,7)-WEEKDAY(DATE(YEAR(B87),4,7),1)+1 + TIME(2,0,0)
       ),
  B87 &lt;  IF(
         YEAR(B87)&gt;=2007,
         DATE(YEAR(B87),11,7)-WEEKDAY(DATE(YEAR(B87),11,7),1)+1 + TIME(2,0,0),
         DATE(YEAR(B87),10,31)-WEEKDAY(DATE(YEAR(B87),10,31),1) + TIME(2,0,0)
       )
 ),
 "UTC-4",
 "UTC-5"
)</f>
        <v>UTC-4</v>
      </c>
      <c r="E87" s="1">
        <v>53.7</v>
      </c>
      <c r="F87" s="1">
        <v>54.64</v>
      </c>
      <c r="G87" s="1">
        <v>53.27</v>
      </c>
      <c r="H87" s="1">
        <v>53.68</v>
      </c>
    </row>
    <row r="88" spans="1:8" x14ac:dyDescent="0.35">
      <c r="A88" s="3">
        <v>46092</v>
      </c>
      <c r="B88" s="3">
        <v>46092</v>
      </c>
      <c r="C88" s="4">
        <v>0.67708333333333337</v>
      </c>
      <c r="D88" s="3" t="str">
        <f>IF(
 AND(
  B88 &gt;= IF(
         YEAR(B88)&gt;=2007,
         DATE(YEAR(B88),3,14)-WEEKDAY(DATE(YEAR(B88),3,14),1)+1 + TIME(2,0,0),
         DATE(YEAR(B88),4,7)-WEEKDAY(DATE(YEAR(B88),4,7),1)+1 + TIME(2,0,0)
       ),
  B88 &lt;  IF(
         YEAR(B88)&gt;=2007,
         DATE(YEAR(B88),11,7)-WEEKDAY(DATE(YEAR(B88),11,7),1)+1 + TIME(2,0,0),
         DATE(YEAR(B88),10,31)-WEEKDAY(DATE(YEAR(B88),10,31),1) + TIME(2,0,0)
       )
 ),
 "UTC-4",
 "UTC-5"
)</f>
        <v>UTC-4</v>
      </c>
      <c r="E88" s="1">
        <v>54.75</v>
      </c>
      <c r="F88" s="1">
        <v>55.69</v>
      </c>
      <c r="G88" s="1">
        <v>54.55</v>
      </c>
      <c r="H88" s="1">
        <v>55.39</v>
      </c>
    </row>
    <row r="89" spans="1:8" x14ac:dyDescent="0.35">
      <c r="A89" s="3">
        <v>46093</v>
      </c>
      <c r="B89" s="3">
        <v>46093</v>
      </c>
      <c r="C89" s="4">
        <v>0.67708333333333337</v>
      </c>
      <c r="D89" s="3" t="str">
        <f>IF(
 AND(
  B89 &gt;= IF(
         YEAR(B89)&gt;=2007,
         DATE(YEAR(B89),3,14)-WEEKDAY(DATE(YEAR(B89),3,14),1)+1 + TIME(2,0,0),
         DATE(YEAR(B89),4,7)-WEEKDAY(DATE(YEAR(B89),4,7),1)+1 + TIME(2,0,0)
       ),
  B89 &lt;  IF(
         YEAR(B89)&gt;=2007,
         DATE(YEAR(B89),11,7)-WEEKDAY(DATE(YEAR(B89),11,7),1)+1 + TIME(2,0,0),
         DATE(YEAR(B89),10,31)-WEEKDAY(DATE(YEAR(B89),10,31),1) + TIME(2,0,0)
       )
 ),
 "UTC-4",
 "UTC-5"
)</f>
        <v>UTC-4</v>
      </c>
      <c r="E89" s="1">
        <v>53.05</v>
      </c>
      <c r="F89" s="1">
        <v>54.85</v>
      </c>
      <c r="G89" s="1">
        <v>53.05</v>
      </c>
      <c r="H89" s="1">
        <v>54.42</v>
      </c>
    </row>
    <row r="90" spans="1:8" x14ac:dyDescent="0.35">
      <c r="A90" s="3">
        <v>46094</v>
      </c>
      <c r="B90" s="3">
        <v>46094</v>
      </c>
      <c r="C90" s="4">
        <v>0.67708333333333337</v>
      </c>
      <c r="D90" s="3" t="str">
        <f>IF(
 AND(
  B90 &gt;= IF(
         YEAR(B90)&gt;=2007,
         DATE(YEAR(B90),3,14)-WEEKDAY(DATE(YEAR(B90),3,14),1)+1 + TIME(2,0,0),
         DATE(YEAR(B90),4,7)-WEEKDAY(DATE(YEAR(B90),4,7),1)+1 + TIME(2,0,0)
       ),
  B90 &lt;  IF(
         YEAR(B90)&gt;=2007,
         DATE(YEAR(B90),11,7)-WEEKDAY(DATE(YEAR(B90),11,7),1)+1 + TIME(2,0,0),
         DATE(YEAR(B90),10,31)-WEEKDAY(DATE(YEAR(B90),10,31),1) + TIME(2,0,0)
       )
 ),
 "UTC-4",
 "UTC-5"
)</f>
        <v>UTC-4</v>
      </c>
      <c r="E90" s="1">
        <v>53.44</v>
      </c>
      <c r="F90" s="1">
        <v>53.93</v>
      </c>
      <c r="G90" s="1">
        <v>51.9</v>
      </c>
      <c r="H90" s="1">
        <v>52.47</v>
      </c>
    </row>
    <row r="91" spans="1:8" x14ac:dyDescent="0.35">
      <c r="A91" s="3">
        <v>46097</v>
      </c>
      <c r="B91" s="3">
        <v>46097</v>
      </c>
      <c r="C91" s="4">
        <v>0.67708333333333337</v>
      </c>
      <c r="D91" s="3" t="str">
        <f>IF(
 AND(
  B91 &gt;= IF(
         YEAR(B91)&gt;=2007,
         DATE(YEAR(B91),3,14)-WEEKDAY(DATE(YEAR(B91),3,14),1)+1 + TIME(2,0,0),
         DATE(YEAR(B91),4,7)-WEEKDAY(DATE(YEAR(B91),4,7),1)+1 + TIME(2,0,0)
       ),
  B91 &lt;  IF(
         YEAR(B91)&gt;=2007,
         DATE(YEAR(B91),11,7)-WEEKDAY(DATE(YEAR(B91),11,7),1)+1 + TIME(2,0,0),
         DATE(YEAR(B91),10,31)-WEEKDAY(DATE(YEAR(B91),10,31),1) + TIME(2,0,0)
       )
 ),
 "UTC-4",
 "UTC-5"
)</f>
        <v>UTC-4</v>
      </c>
      <c r="E91" s="1">
        <v>52.56</v>
      </c>
      <c r="F91" s="1">
        <v>53.65</v>
      </c>
      <c r="G91" s="1">
        <v>52.43</v>
      </c>
      <c r="H91" s="1">
        <v>52.98</v>
      </c>
    </row>
    <row r="92" spans="1:8" x14ac:dyDescent="0.35">
      <c r="A92" s="3">
        <v>46098</v>
      </c>
      <c r="B92" s="3">
        <v>46098</v>
      </c>
      <c r="C92" s="4">
        <v>0.67708333333333337</v>
      </c>
      <c r="D92" s="3" t="str">
        <f>IF(
 AND(
  B92 &gt;= IF(
         YEAR(B92)&gt;=2007,
         DATE(YEAR(B92),3,14)-WEEKDAY(DATE(YEAR(B92),3,14),1)+1 + TIME(2,0,0),
         DATE(YEAR(B92),4,7)-WEEKDAY(DATE(YEAR(B92),4,7),1)+1 + TIME(2,0,0)
       ),
  B92 &lt;  IF(
         YEAR(B92)&gt;=2007,
         DATE(YEAR(B92),11,7)-WEEKDAY(DATE(YEAR(B92),11,7),1)+1 + TIME(2,0,0),
         DATE(YEAR(B92),10,31)-WEEKDAY(DATE(YEAR(B92),10,31),1) + TIME(2,0,0)
       )
 ),
 "UTC-4",
 "UTC-5"
)</f>
        <v>UTC-4</v>
      </c>
      <c r="E92" s="1">
        <v>50.44</v>
      </c>
      <c r="F92" s="1">
        <v>52.6</v>
      </c>
      <c r="G92" s="1">
        <v>50.42</v>
      </c>
      <c r="H92" s="1">
        <v>52.21</v>
      </c>
    </row>
    <row r="93" spans="1:8" x14ac:dyDescent="0.35">
      <c r="A93" s="3">
        <v>46099</v>
      </c>
      <c r="B93" s="3">
        <v>46099</v>
      </c>
      <c r="C93" s="4">
        <v>0.67708333333333337</v>
      </c>
      <c r="D93" s="3" t="str">
        <f>IF(
 AND(
  B93 &gt;= IF(
         YEAR(B93)&gt;=2007,
         DATE(YEAR(B93),3,14)-WEEKDAY(DATE(YEAR(B93),3,14),1)+1 + TIME(2,0,0),
         DATE(YEAR(B93),4,7)-WEEKDAY(DATE(YEAR(B93),4,7),1)+1 + TIME(2,0,0)
       ),
  B93 &lt;  IF(
         YEAR(B93)&gt;=2007,
         DATE(YEAR(B93),11,7)-WEEKDAY(DATE(YEAR(B93),11,7),1)+1 + TIME(2,0,0),
         DATE(YEAR(B93),10,31)-WEEKDAY(DATE(YEAR(B93),10,31),1) + TIME(2,0,0)
       )
 ),
 "UTC-4",
 "UTC-5"
)</f>
        <v>UTC-4</v>
      </c>
      <c r="E93" s="1">
        <v>53.22</v>
      </c>
      <c r="F93" s="1">
        <v>53.39</v>
      </c>
      <c r="G93" s="1">
        <v>50.66</v>
      </c>
      <c r="H93" s="1">
        <v>50.76</v>
      </c>
    </row>
    <row r="94" spans="1:8" x14ac:dyDescent="0.35">
      <c r="A94" s="3">
        <v>46100</v>
      </c>
      <c r="B94" s="3">
        <v>46100</v>
      </c>
      <c r="C94" s="4">
        <v>0.67708333333333337</v>
      </c>
      <c r="D94" s="3" t="str">
        <f>IF(
 AND(
  B94 &gt;= IF(
         YEAR(B94)&gt;=2007,
         DATE(YEAR(B94),3,14)-WEEKDAY(DATE(YEAR(B94),3,14),1)+1 + TIME(2,0,0),
         DATE(YEAR(B94),4,7)-WEEKDAY(DATE(YEAR(B94),4,7),1)+1 + TIME(2,0,0)
       ),
  B94 &lt;  IF(
         YEAR(B94)&gt;=2007,
         DATE(YEAR(B94),11,7)-WEEKDAY(DATE(YEAR(B94),11,7),1)+1 + TIME(2,0,0),
         DATE(YEAR(B94),10,31)-WEEKDAY(DATE(YEAR(B94),10,31),1) + TIME(2,0,0)
       )
 ),
 "UTC-4",
 "UTC-5"
)</f>
        <v>UTC-4</v>
      </c>
      <c r="E94" s="1">
        <v>57.5</v>
      </c>
      <c r="F94" s="1">
        <v>60.31</v>
      </c>
      <c r="G94" s="1">
        <v>54.95</v>
      </c>
      <c r="H94" s="1">
        <v>55.22</v>
      </c>
    </row>
    <row r="95" spans="1:8" x14ac:dyDescent="0.35">
      <c r="A95" s="3">
        <v>46101</v>
      </c>
      <c r="B95" s="3">
        <v>46101</v>
      </c>
      <c r="C95" s="4">
        <v>0.67708333333333337</v>
      </c>
      <c r="D95" s="3" t="str">
        <f>IF(
 AND(
  B95 &gt;= IF(
         YEAR(B95)&gt;=2007,
         DATE(YEAR(B95),3,14)-WEEKDAY(DATE(YEAR(B95),3,14),1)+1 + TIME(2,0,0),
         DATE(YEAR(B95),4,7)-WEEKDAY(DATE(YEAR(B95),4,7),1)+1 + TIME(2,0,0)
       ),
  B95 &lt;  IF(
         YEAR(B95)&gt;=2007,
         DATE(YEAR(B95),11,7)-WEEKDAY(DATE(YEAR(B95),11,7),1)+1 + TIME(2,0,0),
         DATE(YEAR(B95),10,31)-WEEKDAY(DATE(YEAR(B95),10,31),1) + TIME(2,0,0)
       )
 ),
 "UTC-4",
 "UTC-5"
)</f>
        <v>UTC-4</v>
      </c>
      <c r="E95" s="1">
        <v>56.53</v>
      </c>
      <c r="F95" s="1">
        <v>56.85</v>
      </c>
      <c r="G95" s="1">
        <v>54.93</v>
      </c>
      <c r="H95" s="1">
        <v>56.58</v>
      </c>
    </row>
    <row r="96" spans="1:8" x14ac:dyDescent="0.35">
      <c r="A96" s="3">
        <v>46104</v>
      </c>
      <c r="B96" s="3">
        <v>46104</v>
      </c>
      <c r="C96" s="4">
        <v>0.67708333333333337</v>
      </c>
      <c r="D96" s="3" t="str">
        <f>IF(
 AND(
  B96 &gt;= IF(
         YEAR(B96)&gt;=2007,
         DATE(YEAR(B96),3,14)-WEEKDAY(DATE(YEAR(B96),3,14),1)+1 + TIME(2,0,0),
         DATE(YEAR(B96),4,7)-WEEKDAY(DATE(YEAR(B96),4,7),1)+1 + TIME(2,0,0)
       ),
  B96 &lt;  IF(
         YEAR(B96)&gt;=2007,
         DATE(YEAR(B96),11,7)-WEEKDAY(DATE(YEAR(B96),11,7),1)+1 + TIME(2,0,0),
         DATE(YEAR(B96),10,31)-WEEKDAY(DATE(YEAR(B96),10,31),1) + TIME(2,0,0)
       )
 ),
 "UTC-4",
 "UTC-5"
)</f>
        <v>UTC-4</v>
      </c>
      <c r="E96" s="1">
        <v>59.17</v>
      </c>
      <c r="F96" s="1">
        <v>59.22</v>
      </c>
      <c r="G96" s="1">
        <v>55.9</v>
      </c>
      <c r="H96" s="1">
        <v>56.05</v>
      </c>
    </row>
    <row r="97" spans="1:8" x14ac:dyDescent="0.35">
      <c r="A97" s="3">
        <v>46105</v>
      </c>
      <c r="B97" s="3">
        <v>46105</v>
      </c>
      <c r="C97" s="4">
        <v>0.67708333333333337</v>
      </c>
      <c r="D97" s="3" t="str">
        <f>IF(
 AND(
  B97 &gt;= IF(
         YEAR(B97)&gt;=2007,
         DATE(YEAR(B97),3,14)-WEEKDAY(DATE(YEAR(B97),3,14),1)+1 + TIME(2,0,0),
         DATE(YEAR(B97),4,7)-WEEKDAY(DATE(YEAR(B97),4,7),1)+1 + TIME(2,0,0)
       ),
  B97 &lt;  IF(
         YEAR(B97)&gt;=2007,
         DATE(YEAR(B97),11,7)-WEEKDAY(DATE(YEAR(B97),11,7),1)+1 + TIME(2,0,0),
         DATE(YEAR(B97),10,31)-WEEKDAY(DATE(YEAR(B97),10,31),1) + TIME(2,0,0)
       )
 ),
 "UTC-4",
 "UTC-5"
)</f>
        <v>UTC-4</v>
      </c>
      <c r="E97" s="1">
        <v>60.84</v>
      </c>
      <c r="F97" s="1">
        <v>61.32</v>
      </c>
      <c r="G97" s="1">
        <v>60.03</v>
      </c>
      <c r="H97" s="1">
        <v>60.04</v>
      </c>
    </row>
    <row r="98" spans="1:8" x14ac:dyDescent="0.35">
      <c r="A98" s="3">
        <v>46106</v>
      </c>
      <c r="B98" s="3">
        <v>46106</v>
      </c>
      <c r="C98" s="4">
        <v>0.67708333333333337</v>
      </c>
      <c r="D98" s="3" t="str">
        <f>IF(
 AND(
  B98 &gt;= IF(
         YEAR(B98)&gt;=2007,
         DATE(YEAR(B98),3,14)-WEEKDAY(DATE(YEAR(B98),3,14),1)+1 + TIME(2,0,0),
         DATE(YEAR(B98),4,7)-WEEKDAY(DATE(YEAR(B98),4,7),1)+1 + TIME(2,0,0)
       ),
  B98 &lt;  IF(
         YEAR(B98)&gt;=2007,
         DATE(YEAR(B98),11,7)-WEEKDAY(DATE(YEAR(B98),11,7),1)+1 + TIME(2,0,0),
         DATE(YEAR(B98),10,31)-WEEKDAY(DATE(YEAR(B98),10,31),1) + TIME(2,0,0)
       )
 ),
 "UTC-4",
 "UTC-5"
)</f>
        <v>UTC-4</v>
      </c>
      <c r="E98" s="1">
        <v>57.29</v>
      </c>
      <c r="F98" s="1">
        <v>59.76</v>
      </c>
      <c r="G98" s="1">
        <v>57.25</v>
      </c>
      <c r="H98" s="1">
        <v>59.76</v>
      </c>
    </row>
    <row r="99" spans="1:8" x14ac:dyDescent="0.35">
      <c r="A99" s="3">
        <v>46107</v>
      </c>
      <c r="B99" s="3">
        <v>46107</v>
      </c>
      <c r="C99" s="4">
        <v>0.67708333333333337</v>
      </c>
      <c r="D99" s="3" t="str">
        <f>IF(
 AND(
  B99 &gt;= IF(
         YEAR(B99)&gt;=2007,
         DATE(YEAR(B99),3,14)-WEEKDAY(DATE(YEAR(B99),3,14),1)+1 + TIME(2,0,0),
         DATE(YEAR(B99),4,7)-WEEKDAY(DATE(YEAR(B99),4,7),1)+1 + TIME(2,0,0)
       ),
  B99 &lt;  IF(
         YEAR(B99)&gt;=2007,
         DATE(YEAR(B99),11,7)-WEEKDAY(DATE(YEAR(B99),11,7),1)+1 + TIME(2,0,0),
         DATE(YEAR(B99),10,31)-WEEKDAY(DATE(YEAR(B99),10,31),1) + TIME(2,0,0)
       )
 ),
 "UTC-4",
 "UTC-5"
)</f>
        <v>UTC-4</v>
      </c>
      <c r="E99" s="1">
        <v>58.94</v>
      </c>
      <c r="F99" s="1">
        <v>58.94</v>
      </c>
      <c r="G99" s="1">
        <v>57.7</v>
      </c>
      <c r="H99" s="1">
        <v>57.7</v>
      </c>
    </row>
    <row r="100" spans="1:8" x14ac:dyDescent="0.35">
      <c r="A100" s="3">
        <v>46108</v>
      </c>
      <c r="B100" s="3">
        <v>46108</v>
      </c>
      <c r="C100" s="4">
        <v>0.67708333333333337</v>
      </c>
      <c r="D100" s="3" t="str">
        <f>IF(
 AND(
  B100 &gt;= IF(
         YEAR(B100)&gt;=2007,
         DATE(YEAR(B100),3,14)-WEEKDAY(DATE(YEAR(B100),3,14),1)+1 + TIME(2,0,0),
         DATE(YEAR(B100),4,7)-WEEKDAY(DATE(YEAR(B100),4,7),1)+1 + TIME(2,0,0)
       ),
  B100 &lt;  IF(
         YEAR(B100)&gt;=2007,
         DATE(YEAR(B100),11,7)-WEEKDAY(DATE(YEAR(B100),11,7),1)+1 + TIME(2,0,0),
         DATE(YEAR(B100),10,31)-WEEKDAY(DATE(YEAR(B100),10,31),1) + TIME(2,0,0)
       )
 ),
 "UTC-4",
 "UTC-5"
)</f>
        <v>UTC-4</v>
      </c>
      <c r="E100" s="1">
        <v>62.79</v>
      </c>
      <c r="F100" s="1">
        <v>62.79</v>
      </c>
      <c r="G100" s="1">
        <v>60</v>
      </c>
      <c r="H100" s="1">
        <v>60</v>
      </c>
    </row>
    <row r="101" spans="1:8" x14ac:dyDescent="0.35">
      <c r="A101" s="3">
        <v>46111</v>
      </c>
      <c r="B101" s="3">
        <v>46111</v>
      </c>
      <c r="C101" s="4">
        <v>0.67708333333333337</v>
      </c>
      <c r="D101" s="3" t="str">
        <f>IF(
 AND(
  B101 &gt;= IF(
         YEAR(B101)&gt;=2007,
         DATE(YEAR(B101),3,14)-WEEKDAY(DATE(YEAR(B101),3,14),1)+1 + TIME(2,0,0),
         DATE(YEAR(B101),4,7)-WEEKDAY(DATE(YEAR(B101),4,7),1)+1 + TIME(2,0,0)
       ),
  B101 &lt;  IF(
         YEAR(B101)&gt;=2007,
         DATE(YEAR(B101),11,7)-WEEKDAY(DATE(YEAR(B101),11,7),1)+1 + TIME(2,0,0),
         DATE(YEAR(B101),10,31)-WEEKDAY(DATE(YEAR(B101),10,31),1) + TIME(2,0,0)
       )
 ),
 "UTC-4",
 "UTC-5"
)</f>
        <v>UTC-4</v>
      </c>
      <c r="E101" s="1">
        <v>61.55</v>
      </c>
      <c r="F101" s="1">
        <v>62.91</v>
      </c>
      <c r="G101" s="1">
        <v>61.48</v>
      </c>
      <c r="H101" s="1">
        <v>62.37</v>
      </c>
    </row>
    <row r="102" spans="1:8" x14ac:dyDescent="0.35">
      <c r="A102" s="3">
        <v>46112</v>
      </c>
      <c r="B102" s="3">
        <v>46112</v>
      </c>
      <c r="C102" s="4">
        <v>0.67708333333333337</v>
      </c>
      <c r="D102" s="3" t="str">
        <f>IF(
 AND(
  B102 &gt;= IF(
         YEAR(B102)&gt;=2007,
         DATE(YEAR(B102),3,14)-WEEKDAY(DATE(YEAR(B102),3,14),1)+1 + TIME(2,0,0),
         DATE(YEAR(B102),4,7)-WEEKDAY(DATE(YEAR(B102),4,7),1)+1 + TIME(2,0,0)
       ),
  B102 &lt;  IF(
         YEAR(B102)&gt;=2007,
         DATE(YEAR(B102),11,7)-WEEKDAY(DATE(YEAR(B102),11,7),1)+1 + TIME(2,0,0),
         DATE(YEAR(B102),10,31)-WEEKDAY(DATE(YEAR(B102),10,31),1) + TIME(2,0,0)
       )
 ),
 "UTC-4",
 "UTC-5"
)</f>
        <v>UTC-4</v>
      </c>
      <c r="E102" s="1">
        <v>58.98</v>
      </c>
      <c r="F102" s="1">
        <v>60.78</v>
      </c>
      <c r="G102" s="1">
        <v>58.98</v>
      </c>
      <c r="H102" s="1">
        <v>60.68</v>
      </c>
    </row>
    <row r="103" spans="1:8" x14ac:dyDescent="0.35">
      <c r="A103" s="3">
        <v>46113</v>
      </c>
      <c r="B103" s="3">
        <v>46113</v>
      </c>
      <c r="C103" s="4">
        <v>0.67708333333333337</v>
      </c>
      <c r="D103" s="3" t="str">
        <f>IF(
 AND(
  B103 &gt;= IF(
         YEAR(B103)&gt;=2007,
         DATE(YEAR(B103),3,14)-WEEKDAY(DATE(YEAR(B103),3,14),1)+1 + TIME(2,0,0),
         DATE(YEAR(B103),4,7)-WEEKDAY(DATE(YEAR(B103),4,7),1)+1 + TIME(2,0,0)
       ),
  B103 &lt;  IF(
         YEAR(B103)&gt;=2007,
         DATE(YEAR(B103),11,7)-WEEKDAY(DATE(YEAR(B103),11,7),1)+1 + TIME(2,0,0),
         DATE(YEAR(B103),10,31)-WEEKDAY(DATE(YEAR(B103),10,31),1) + TIME(2,0,0)
       )
 ),
 "UTC-4",
 "UTC-5"
)</f>
        <v>UTC-4</v>
      </c>
      <c r="E103" s="1">
        <v>58.06</v>
      </c>
      <c r="F103" s="1">
        <v>59.39</v>
      </c>
      <c r="G103" s="1">
        <v>57.73</v>
      </c>
      <c r="H103" s="1">
        <v>59.39</v>
      </c>
    </row>
    <row r="104" spans="1:8" x14ac:dyDescent="0.35">
      <c r="A104" s="3">
        <v>46114</v>
      </c>
      <c r="B104" s="3">
        <v>46114</v>
      </c>
      <c r="C104" s="4">
        <v>0.67708333333333337</v>
      </c>
      <c r="D104" s="3" t="str">
        <f>IF(
 AND(
  B104 &gt;= IF(
         YEAR(B104)&gt;=2007,
         DATE(YEAR(B104),3,14)-WEEKDAY(DATE(YEAR(B104),3,14),1)+1 + TIME(2,0,0),
         DATE(YEAR(B104),4,7)-WEEKDAY(DATE(YEAR(B104),4,7),1)+1 + TIME(2,0,0)
       ),
  B104 &lt;  IF(
         YEAR(B104)&gt;=2007,
         DATE(YEAR(B104),11,7)-WEEKDAY(DATE(YEAR(B104),11,7),1)+1 + TIME(2,0,0),
         DATE(YEAR(B104),10,31)-WEEKDAY(DATE(YEAR(B104),10,31),1) + TIME(2,0,0)
       )
 ),
 "UTC-4",
 "UTC-5"
)</f>
        <v>UTC-4</v>
      </c>
      <c r="E104" s="1">
        <v>59.45</v>
      </c>
      <c r="F104" s="1">
        <v>60.43</v>
      </c>
      <c r="G104" s="1">
        <v>59.09</v>
      </c>
      <c r="H104" s="1">
        <v>59.09</v>
      </c>
    </row>
    <row r="105" spans="1:8" x14ac:dyDescent="0.35">
      <c r="A105" s="3">
        <v>46118</v>
      </c>
      <c r="B105" s="3">
        <v>46118</v>
      </c>
      <c r="C105" s="4">
        <v>0.67708333333333337</v>
      </c>
      <c r="D105" s="3" t="str">
        <f>IF(
 AND(
  B105 &gt;= IF(
         YEAR(B105)&gt;=2007,
         DATE(YEAR(B105),3,14)-WEEKDAY(DATE(YEAR(B105),3,14),1)+1 + TIME(2,0,0),
         DATE(YEAR(B105),4,7)-WEEKDAY(DATE(YEAR(B105),4,7),1)+1 + TIME(2,0,0)
       ),
  B105 &lt;  IF(
         YEAR(B105)&gt;=2007,
         DATE(YEAR(B105),11,7)-WEEKDAY(DATE(YEAR(B105),11,7),1)+1 + TIME(2,0,0),
         DATE(YEAR(B105),10,31)-WEEKDAY(DATE(YEAR(B105),10,31),1) + TIME(2,0,0)
       )
 ),
 "UTC-4",
 "UTC-5"
)</f>
        <v>UTC-4</v>
      </c>
      <c r="E105" s="1">
        <v>59.63</v>
      </c>
      <c r="F105" s="1">
        <v>61.76</v>
      </c>
      <c r="G105" s="1">
        <v>59.29</v>
      </c>
      <c r="H105" s="1">
        <v>61.19</v>
      </c>
    </row>
    <row r="106" spans="1:8" x14ac:dyDescent="0.35">
      <c r="A106" s="3">
        <v>46119</v>
      </c>
      <c r="B106" s="3">
        <v>46119</v>
      </c>
      <c r="C106" s="4">
        <v>0.67708333333333337</v>
      </c>
      <c r="D106" s="3" t="str">
        <f>IF(
 AND(
  B106 &gt;= IF(
         YEAR(B106)&gt;=2007,
         DATE(YEAR(B106),3,14)-WEEKDAY(DATE(YEAR(B106),3,14),1)+1 + TIME(2,0,0),
         DATE(YEAR(B106),4,7)-WEEKDAY(DATE(YEAR(B106),4,7),1)+1 + TIME(2,0,0)
       ),
  B106 &lt;  IF(
         YEAR(B106)&gt;=2007,
         DATE(YEAR(B106),11,7)-WEEKDAY(DATE(YEAR(B106),11,7),1)+1 + TIME(2,0,0),
         DATE(YEAR(B106),10,31)-WEEKDAY(DATE(YEAR(B106),10,31),1) + TIME(2,0,0)
       )
 ),
 "UTC-4",
 "UTC-5"
)</f>
        <v>UTC-4</v>
      </c>
      <c r="E106" s="1">
        <v>60.53</v>
      </c>
      <c r="F106" s="1">
        <v>60.62</v>
      </c>
      <c r="G106" s="1">
        <v>59.69</v>
      </c>
      <c r="H106" s="1">
        <v>59.81</v>
      </c>
    </row>
    <row r="107" spans="1:8" x14ac:dyDescent="0.35">
      <c r="A107" s="3">
        <v>46120</v>
      </c>
      <c r="B107" s="3">
        <v>46120</v>
      </c>
      <c r="C107" s="4">
        <v>0.67708333333333337</v>
      </c>
      <c r="D107" s="3" t="str">
        <f>IF(
 AND(
  B107 &gt;= IF(
         YEAR(B107)&gt;=2007,
         DATE(YEAR(B107),3,14)-WEEKDAY(DATE(YEAR(B107),3,14),1)+1 + TIME(2,0,0),
         DATE(YEAR(B107),4,7)-WEEKDAY(DATE(YEAR(B107),4,7),1)+1 + TIME(2,0,0)
       ),
  B107 &lt;  IF(
         YEAR(B107)&gt;=2007,
         DATE(YEAR(B107),11,7)-WEEKDAY(DATE(YEAR(B107),11,7),1)+1 + TIME(2,0,0),
         DATE(YEAR(B107),10,31)-WEEKDAY(DATE(YEAR(B107),10,31),1) + TIME(2,0,0)
       )
 ),
 "UTC-4",
 "UTC-5"
)</f>
        <v>UTC-4</v>
      </c>
      <c r="E107" s="1">
        <v>54.64</v>
      </c>
      <c r="F107" s="1">
        <v>59.07</v>
      </c>
      <c r="G107" s="1">
        <v>53.14</v>
      </c>
      <c r="H107" s="1">
        <v>58.68</v>
      </c>
    </row>
    <row r="108" spans="1:8" x14ac:dyDescent="0.35">
      <c r="A108" s="3">
        <v>46121</v>
      </c>
      <c r="B108" s="3">
        <v>46121</v>
      </c>
      <c r="C108" s="4">
        <v>0.67708333333333337</v>
      </c>
      <c r="D108" s="3" t="str">
        <f>IF(
 AND(
  B108 &gt;= IF(
         YEAR(B108)&gt;=2007,
         DATE(YEAR(B108),3,14)-WEEKDAY(DATE(YEAR(B108),3,14),1)+1 + TIME(2,0,0),
         DATE(YEAR(B108),4,7)-WEEKDAY(DATE(YEAR(B108),4,7),1)+1 + TIME(2,0,0)
       ),
  B108 &lt;  IF(
         YEAR(B108)&gt;=2007,
         DATE(YEAR(B108),11,7)-WEEKDAY(DATE(YEAR(B108),11,7),1)+1 + TIME(2,0,0),
         DATE(YEAR(B108),10,31)-WEEKDAY(DATE(YEAR(B108),10,31),1) + TIME(2,0,0)
       )
 ),
 "UTC-4",
 "UTC-5"
)</f>
        <v>UTC-4</v>
      </c>
      <c r="E108" s="1">
        <v>53.37</v>
      </c>
      <c r="F108" s="1">
        <v>55.03</v>
      </c>
      <c r="G108" s="1">
        <v>53.35</v>
      </c>
      <c r="H108" s="1">
        <v>54.79</v>
      </c>
    </row>
    <row r="109" spans="1:8" x14ac:dyDescent="0.35">
      <c r="A109" s="3">
        <v>46122</v>
      </c>
      <c r="B109" s="3">
        <v>46122</v>
      </c>
      <c r="C109" s="4">
        <v>0.67708333333333337</v>
      </c>
      <c r="D109" s="3" t="str">
        <f>IF(
 AND(
  B109 &gt;= IF(
         YEAR(B109)&gt;=2007,
         DATE(YEAR(B109),3,14)-WEEKDAY(DATE(YEAR(B109),3,14),1)+1 + TIME(2,0,0),
         DATE(YEAR(B109),4,7)-WEEKDAY(DATE(YEAR(B109),4,7),1)+1 + TIME(2,0,0)
       ),
  B109 &lt;  IF(
         YEAR(B109)&gt;=2007,
         DATE(YEAR(B109),11,7)-WEEKDAY(DATE(YEAR(B109),11,7),1)+1 + TIME(2,0,0),
         DATE(YEAR(B109),10,31)-WEEKDAY(DATE(YEAR(B109),10,31),1) + TIME(2,0,0)
       )
 ),
 "UTC-4",
 "UTC-5"
)</f>
        <v>UTC-4</v>
      </c>
      <c r="E109" s="1">
        <v>51.6</v>
      </c>
      <c r="F109" s="1">
        <v>53.92</v>
      </c>
      <c r="G109" s="1">
        <v>51.43</v>
      </c>
      <c r="H109" s="1">
        <v>53.62</v>
      </c>
    </row>
    <row r="110" spans="1:8" x14ac:dyDescent="0.35">
      <c r="A110" s="3">
        <v>46125</v>
      </c>
      <c r="B110" s="3">
        <v>46125</v>
      </c>
      <c r="C110" s="4">
        <v>0.67708333333333337</v>
      </c>
      <c r="D110" s="3" t="str">
        <f>IF(
 AND(
  B110 &gt;= IF(
         YEAR(B110)&gt;=2007,
         DATE(YEAR(B110),3,14)-WEEKDAY(DATE(YEAR(B110),3,14),1)+1 + TIME(2,0,0),
         DATE(YEAR(B110),4,7)-WEEKDAY(DATE(YEAR(B110),4,7),1)+1 + TIME(2,0,0)
       ),
  B110 &lt;  IF(
         YEAR(B110)&gt;=2007,
         DATE(YEAR(B110),11,7)-WEEKDAY(DATE(YEAR(B110),11,7),1)+1 + TIME(2,0,0),
         DATE(YEAR(B110),10,31)-WEEKDAY(DATE(YEAR(B110),10,31),1) + TIME(2,0,0)
       )
 ),
 "UTC-4",
 "UTC-5"
)</f>
        <v>UTC-4</v>
      </c>
      <c r="E110" s="1">
        <v>51.73</v>
      </c>
      <c r="F110" s="1">
        <v>53.76</v>
      </c>
      <c r="G110" s="1">
        <v>51.71</v>
      </c>
      <c r="H110" s="1">
        <v>53.72</v>
      </c>
    </row>
    <row r="111" spans="1:8" x14ac:dyDescent="0.35">
      <c r="A111" s="3">
        <v>46126</v>
      </c>
      <c r="B111" s="3">
        <v>46126</v>
      </c>
      <c r="C111" s="4">
        <v>0.67708333333333337</v>
      </c>
      <c r="D111" s="3" t="str">
        <f>IF(
 AND(
  B111 &gt;= IF(
         YEAR(B111)&gt;=2007,
         DATE(YEAR(B111),3,14)-WEEKDAY(DATE(YEAR(B111),3,14),1)+1 + TIME(2,0,0),
         DATE(YEAR(B111),4,7)-WEEKDAY(DATE(YEAR(B111),4,7),1)+1 + TIME(2,0,0)
       ),
  B111 &lt;  IF(
         YEAR(B111)&gt;=2007,
         DATE(YEAR(B111),11,7)-WEEKDAY(DATE(YEAR(B111),11,7),1)+1 + TIME(2,0,0),
         DATE(YEAR(B111),10,31)-WEEKDAY(DATE(YEAR(B111),10,31),1) + TIME(2,0,0)
       )
 ),
 "UTC-4",
 "UTC-5"
)</f>
        <v>UTC-4</v>
      </c>
      <c r="E111" s="1">
        <v>51.02</v>
      </c>
      <c r="F111" s="1">
        <v>51.97</v>
      </c>
      <c r="G111" s="1">
        <v>50.32</v>
      </c>
      <c r="H111" s="1">
        <v>51.89</v>
      </c>
    </row>
    <row r="112" spans="1:8" x14ac:dyDescent="0.35">
      <c r="A112" s="3">
        <v>46127</v>
      </c>
      <c r="B112" s="3">
        <v>46127</v>
      </c>
      <c r="C112" s="4">
        <v>0.67708333333333337</v>
      </c>
      <c r="D112" s="3" t="str">
        <f>IF(
 AND(
  B112 &gt;= IF(
         YEAR(B112)&gt;=2007,
         DATE(YEAR(B112),3,14)-WEEKDAY(DATE(YEAR(B112),3,14),1)+1 + TIME(2,0,0),
         DATE(YEAR(B112),4,7)-WEEKDAY(DATE(YEAR(B112),4,7),1)+1 + TIME(2,0,0)
       ),
  B112 &lt;  IF(
         YEAR(B112)&gt;=2007,
         DATE(YEAR(B112),11,7)-WEEKDAY(DATE(YEAR(B112),11,7),1)+1 + TIME(2,0,0),
         DATE(YEAR(B112),10,31)-WEEKDAY(DATE(YEAR(B112),10,31),1) + TIME(2,0,0)
       )
 ),
 "UTC-4",
 "UTC-5"
)</f>
        <v>UTC-4</v>
      </c>
      <c r="E112" s="1">
        <v>50.74</v>
      </c>
      <c r="F112" s="1">
        <v>51.05</v>
      </c>
      <c r="G112" s="1">
        <v>50.4</v>
      </c>
      <c r="H112" s="1">
        <v>50.62</v>
      </c>
    </row>
    <row r="113" spans="1:8" x14ac:dyDescent="0.35">
      <c r="A113" s="3">
        <v>46128</v>
      </c>
      <c r="B113" s="3">
        <v>46128</v>
      </c>
      <c r="C113" s="4">
        <v>0.67708333333333337</v>
      </c>
      <c r="D113" s="3" t="str">
        <f>IF(
 AND(
  B113 &gt;= IF(
         YEAR(B113)&gt;=2007,
         DATE(YEAR(B113),3,14)-WEEKDAY(DATE(YEAR(B113),3,14),1)+1 + TIME(2,0,0),
         DATE(YEAR(B113),4,7)-WEEKDAY(DATE(YEAR(B113),4,7),1)+1 + TIME(2,0,0)
       ),
  B113 &lt;  IF(
         YEAR(B113)&gt;=2007,
         DATE(YEAR(B113),11,7)-WEEKDAY(DATE(YEAR(B113),11,7),1)+1 + TIME(2,0,0),
         DATE(YEAR(B113),10,31)-WEEKDAY(DATE(YEAR(B113),10,31),1) + TIME(2,0,0)
       )
 ),
 "UTC-4",
 "UTC-5"
)</f>
        <v>UTC-4</v>
      </c>
      <c r="E113" s="1">
        <v>49.6</v>
      </c>
      <c r="F113" s="1">
        <v>50.5</v>
      </c>
      <c r="G113" s="1">
        <v>49.54</v>
      </c>
      <c r="H113" s="1">
        <v>50.13</v>
      </c>
    </row>
    <row r="114" spans="1:8" x14ac:dyDescent="0.35">
      <c r="A114" s="3">
        <v>46129</v>
      </c>
      <c r="B114" s="3">
        <v>46129</v>
      </c>
      <c r="C114" s="4">
        <v>0.67708333333333337</v>
      </c>
      <c r="D114" s="3" t="str">
        <f>IF(
 AND(
  B114 &gt;= IF(
         YEAR(B114)&gt;=2007,
         DATE(YEAR(B114),3,14)-WEEKDAY(DATE(YEAR(B114),3,14),1)+1 + TIME(2,0,0),
         DATE(YEAR(B114),4,7)-WEEKDAY(DATE(YEAR(B114),4,7),1)+1 + TIME(2,0,0)
       ),
  B114 &lt;  IF(
         YEAR(B114)&gt;=2007,
         DATE(YEAR(B114),11,7)-WEEKDAY(DATE(YEAR(B114),11,7),1)+1 + TIME(2,0,0),
         DATE(YEAR(B114),10,31)-WEEKDAY(DATE(YEAR(B114),10,31),1) + TIME(2,0,0)
       )
 ),
 "UTC-4",
 "UTC-5"
)</f>
        <v>UTC-4</v>
      </c>
      <c r="E114" s="1">
        <v>47.72</v>
      </c>
      <c r="F114" s="1">
        <v>49.79</v>
      </c>
      <c r="G114" s="1">
        <v>47.49</v>
      </c>
      <c r="H114" s="1">
        <v>49.43</v>
      </c>
    </row>
    <row r="115" spans="1:8" x14ac:dyDescent="0.35">
      <c r="A115" s="3">
        <v>46132</v>
      </c>
      <c r="B115" s="3">
        <v>46132</v>
      </c>
      <c r="C115" s="4">
        <v>0.67708333333333337</v>
      </c>
      <c r="D115" s="3" t="str">
        <f>IF(
 AND(
  B115 &gt;= IF(
         YEAR(B115)&gt;=2007,
         DATE(YEAR(B115),3,14)-WEEKDAY(DATE(YEAR(B115),3,14),1)+1 + TIME(2,0,0),
         DATE(YEAR(B115),4,7)-WEEKDAY(DATE(YEAR(B115),4,7),1)+1 + TIME(2,0,0)
       ),
  B115 &lt;  IF(
         YEAR(B115)&gt;=2007,
         DATE(YEAR(B115),11,7)-WEEKDAY(DATE(YEAR(B115),11,7),1)+1 + TIME(2,0,0),
         DATE(YEAR(B115),10,31)-WEEKDAY(DATE(YEAR(B115),10,31),1) + TIME(2,0,0)
       )
 ),
 "UTC-4",
 "UTC-5"
)</f>
        <v>UTC-4</v>
      </c>
      <c r="E115" s="1">
        <v>48.2</v>
      </c>
      <c r="F115" s="1">
        <v>48.87</v>
      </c>
      <c r="G115" s="1">
        <v>47.88</v>
      </c>
      <c r="H115" s="1">
        <v>48.56</v>
      </c>
    </row>
    <row r="116" spans="1:8" x14ac:dyDescent="0.35">
      <c r="A116" s="3">
        <v>46133</v>
      </c>
      <c r="B116" s="3">
        <v>46133</v>
      </c>
      <c r="C116" s="4">
        <v>0.67708333333333337</v>
      </c>
      <c r="D116" s="3" t="str">
        <f>IF(
 AND(
  B116 &gt;= IF(
         YEAR(B116)&gt;=2007,
         DATE(YEAR(B116),3,14)-WEEKDAY(DATE(YEAR(B116),3,14),1)+1 + TIME(2,0,0),
         DATE(YEAR(B116),4,7)-WEEKDAY(DATE(YEAR(B116),4,7),1)+1 + TIME(2,0,0)
       ),
  B116 &lt;  IF(
         YEAR(B116)&gt;=2007,
         DATE(YEAR(B116),11,7)-WEEKDAY(DATE(YEAR(B116),11,7),1)+1 + TIME(2,0,0),
         DATE(YEAR(B116),10,31)-WEEKDAY(DATE(YEAR(B116),10,31),1) + TIME(2,0,0)
       )
 ),
 "UTC-4",
 "UTC-5"
)</f>
        <v>UTC-4</v>
      </c>
      <c r="E116" s="1">
        <v>50.75</v>
      </c>
      <c r="F116" s="1">
        <v>51.05</v>
      </c>
      <c r="G116" s="1">
        <v>48.05</v>
      </c>
      <c r="H116" s="1">
        <v>48.47</v>
      </c>
    </row>
    <row r="117" spans="1:8" x14ac:dyDescent="0.35">
      <c r="A117" s="3">
        <v>46134</v>
      </c>
      <c r="B117" s="3">
        <v>46134</v>
      </c>
      <c r="C117" s="4">
        <v>0.67708333333333337</v>
      </c>
      <c r="D117" s="3" t="str">
        <f>IF(
 AND(
  B117 &gt;= IF(
         YEAR(B117)&gt;=2007,
         DATE(YEAR(B117),3,14)-WEEKDAY(DATE(YEAR(B117),3,14),1)+1 + TIME(2,0,0),
         DATE(YEAR(B117),4,7)-WEEKDAY(DATE(YEAR(B117),4,7),1)+1 + TIME(2,0,0)
       ),
  B117 &lt;  IF(
         YEAR(B117)&gt;=2007,
         DATE(YEAR(B117),11,7)-WEEKDAY(DATE(YEAR(B117),11,7),1)+1 + TIME(2,0,0),
         DATE(YEAR(B117),10,31)-WEEKDAY(DATE(YEAR(B117),10,31),1) + TIME(2,0,0)
       )
 ),
 "UTC-4",
 "UTC-5"
)</f>
        <v>UTC-4</v>
      </c>
      <c r="E117" s="1">
        <v>49.59</v>
      </c>
      <c r="F117" s="1">
        <v>50.24</v>
      </c>
      <c r="G117" s="1">
        <v>49.15</v>
      </c>
      <c r="H117" s="1">
        <v>50.1</v>
      </c>
    </row>
    <row r="118" spans="1:8" x14ac:dyDescent="0.35">
      <c r="A118" s="3">
        <v>46135</v>
      </c>
      <c r="B118" s="3">
        <v>46135</v>
      </c>
      <c r="C118" s="4">
        <v>0.67708333333333337</v>
      </c>
      <c r="D118" s="3" t="str">
        <f>IF(
 AND(
  B118 &gt;= IF(
         YEAR(B118)&gt;=2007,
         DATE(YEAR(B118),3,14)-WEEKDAY(DATE(YEAR(B118),3,14),1)+1 + TIME(2,0,0),
         DATE(YEAR(B118),4,7)-WEEKDAY(DATE(YEAR(B118),4,7),1)+1 + TIME(2,0,0)
       ),
  B118 &lt;  IF(
         YEAR(B118)&gt;=2007,
         DATE(YEAR(B118),11,7)-WEEKDAY(DATE(YEAR(B118),11,7),1)+1 + TIME(2,0,0),
         DATE(YEAR(B118),10,31)-WEEKDAY(DATE(YEAR(B118),10,31),1) + TIME(2,0,0)
       )
 ),
 "UTC-4",
 "UTC-5"
)</f>
        <v>UTC-4</v>
      </c>
      <c r="E118" s="1">
        <v>47.98</v>
      </c>
      <c r="F118" s="1">
        <v>49.85</v>
      </c>
      <c r="G118" s="1">
        <v>47.82</v>
      </c>
      <c r="H118" s="1">
        <v>49.85</v>
      </c>
    </row>
    <row r="119" spans="1:8" x14ac:dyDescent="0.35">
      <c r="A119" s="3">
        <v>46136</v>
      </c>
      <c r="B119" s="3">
        <v>46136</v>
      </c>
      <c r="C119" s="4">
        <v>0.67708333333333337</v>
      </c>
      <c r="D119" s="3" t="str">
        <f>IF(
 AND(
  B119 &gt;= IF(
         YEAR(B119)&gt;=2007,
         DATE(YEAR(B119),3,14)-WEEKDAY(DATE(YEAR(B119),3,14),1)+1 + TIME(2,0,0),
         DATE(YEAR(B119),4,7)-WEEKDAY(DATE(YEAR(B119),4,7),1)+1 + TIME(2,0,0)
       ),
  B119 &lt;  IF(
         YEAR(B119)&gt;=2007,
         DATE(YEAR(B119),11,7)-WEEKDAY(DATE(YEAR(B119),11,7),1)+1 + TIME(2,0,0),
         DATE(YEAR(B119),10,31)-WEEKDAY(DATE(YEAR(B119),10,31),1) + TIME(2,0,0)
       )
 ),
 "UTC-4",
 "UTC-5"
)</f>
        <v>UTC-4</v>
      </c>
      <c r="E119" s="1">
        <v>47.92</v>
      </c>
      <c r="F119" s="1">
        <v>48.46</v>
      </c>
      <c r="G119" s="1">
        <v>47.92</v>
      </c>
      <c r="H119" s="1">
        <v>48.32</v>
      </c>
    </row>
    <row r="120" spans="1:8" x14ac:dyDescent="0.35">
      <c r="A120" s="3">
        <v>46139</v>
      </c>
      <c r="B120" s="3">
        <v>46139</v>
      </c>
      <c r="C120" s="4">
        <v>0.67708333333333337</v>
      </c>
      <c r="D120" s="3" t="str">
        <f>IF(
 AND(
  B120 &gt;= IF(
         YEAR(B120)&gt;=2007,
         DATE(YEAR(B120),3,14)-WEEKDAY(DATE(YEAR(B120),3,14),1)+1 + TIME(2,0,0),
         DATE(YEAR(B120),4,7)-WEEKDAY(DATE(YEAR(B120),4,7),1)+1 + TIME(2,0,0)
       ),
  B120 &lt;  IF(
         YEAR(B120)&gt;=2007,
         DATE(YEAR(B120),11,7)-WEEKDAY(DATE(YEAR(B120),11,7),1)+1 + TIME(2,0,0),
         DATE(YEAR(B120),10,31)-WEEKDAY(DATE(YEAR(B120),10,31),1) + TIME(2,0,0)
       )
 ),
 "UTC-4",
 "UTC-5"
)</f>
        <v>UTC-4</v>
      </c>
      <c r="E120" s="1">
        <v>48</v>
      </c>
      <c r="F120" s="1">
        <v>49.6</v>
      </c>
      <c r="G120" s="1">
        <v>47.99</v>
      </c>
      <c r="H120" s="1">
        <v>49.51</v>
      </c>
    </row>
    <row r="121" spans="1:8" x14ac:dyDescent="0.35">
      <c r="A121" s="3">
        <v>46140</v>
      </c>
      <c r="B121" s="3">
        <v>46140</v>
      </c>
      <c r="C121" s="4">
        <v>0.67708333333333337</v>
      </c>
      <c r="D121" s="3" t="str">
        <f>IF(
 AND(
  B121 &gt;= IF(
         YEAR(B121)&gt;=2007,
         DATE(YEAR(B121),3,14)-WEEKDAY(DATE(YEAR(B121),3,14),1)+1 + TIME(2,0,0),
         DATE(YEAR(B121),4,7)-WEEKDAY(DATE(YEAR(B121),4,7),1)+1 + TIME(2,0,0)
       ),
  B121 &lt;  IF(
         YEAR(B121)&gt;=2007,
         DATE(YEAR(B121),11,7)-WEEKDAY(DATE(YEAR(B121),11,7),1)+1 + TIME(2,0,0),
         DATE(YEAR(B121),10,31)-WEEKDAY(DATE(YEAR(B121),10,31),1) + TIME(2,0,0)
       )
 ),
 "UTC-4",
 "UTC-5"
)</f>
        <v>UTC-4</v>
      </c>
      <c r="E121" s="1">
        <v>47.32</v>
      </c>
      <c r="F121" s="1">
        <v>48.28</v>
      </c>
      <c r="G121" s="1">
        <v>46.98</v>
      </c>
      <c r="H121" s="1">
        <v>47.58</v>
      </c>
    </row>
    <row r="122" spans="1:8" x14ac:dyDescent="0.35">
      <c r="A122" s="3">
        <v>46141</v>
      </c>
      <c r="B122" s="3">
        <v>46141</v>
      </c>
      <c r="C122" s="4">
        <v>0.67708333333333337</v>
      </c>
      <c r="D122" s="3" t="str">
        <f>IF(
 AND(
  B122 &gt;= IF(
         YEAR(B122)&gt;=2007,
         DATE(YEAR(B122),3,14)-WEEKDAY(DATE(YEAR(B122),3,14),1)+1 + TIME(2,0,0),
         DATE(YEAR(B122),4,7)-WEEKDAY(DATE(YEAR(B122),4,7),1)+1 + TIME(2,0,0)
       ),
  B122 &lt;  IF(
         YEAR(B122)&gt;=2007,
         DATE(YEAR(B122),11,7)-WEEKDAY(DATE(YEAR(B122),11,7),1)+1 + TIME(2,0,0),
         DATE(YEAR(B122),10,31)-WEEKDAY(DATE(YEAR(B122),10,31),1) + TIME(2,0,0)
       )
 ),
 "UTC-4",
 "UTC-5"
)</f>
        <v>UTC-4</v>
      </c>
      <c r="E122" s="1">
        <v>47.94</v>
      </c>
      <c r="F122" s="1">
        <v>49.05</v>
      </c>
      <c r="G122" s="1">
        <v>47.75</v>
      </c>
      <c r="H122" s="1">
        <v>48.14</v>
      </c>
    </row>
    <row r="123" spans="1:8" x14ac:dyDescent="0.35">
      <c r="A123" s="3">
        <v>46142</v>
      </c>
      <c r="B123" s="3">
        <v>46142</v>
      </c>
      <c r="C123" s="4">
        <v>0.67708333333333337</v>
      </c>
      <c r="D123" s="3" t="str">
        <f>IF(
 AND(
  B123 &gt;= IF(
         YEAR(B123)&gt;=2007,
         DATE(YEAR(B123),3,14)-WEEKDAY(DATE(YEAR(B123),3,14),1)+1 + TIME(2,0,0),
         DATE(YEAR(B123),4,7)-WEEKDAY(DATE(YEAR(B123),4,7),1)+1 + TIME(2,0,0)
       ),
  B123 &lt;  IF(
         YEAR(B123)&gt;=2007,
         DATE(YEAR(B123),11,7)-WEEKDAY(DATE(YEAR(B123),11,7),1)+1 + TIME(2,0,0),
         DATE(YEAR(B123),10,31)-WEEKDAY(DATE(YEAR(B123),10,31),1) + TIME(2,0,0)
       )
 ),
 "UTC-4",
 "UTC-5"
)</f>
        <v>UTC-4</v>
      </c>
      <c r="E123" s="1">
        <v>45.14</v>
      </c>
      <c r="F123" s="1">
        <v>47.46</v>
      </c>
      <c r="G123" s="1">
        <v>45.07</v>
      </c>
      <c r="H123" s="1">
        <v>47.44</v>
      </c>
    </row>
    <row r="124" spans="1:8" x14ac:dyDescent="0.35">
      <c r="A124" s="3">
        <v>46143</v>
      </c>
      <c r="B124" s="3">
        <v>46143</v>
      </c>
      <c r="C124" s="4">
        <v>0.67708333333333337</v>
      </c>
      <c r="D124" s="3" t="str">
        <f>IF(
 AND(
  B124 &gt;= IF(
         YEAR(B124)&gt;=2007,
         DATE(YEAR(B124),3,14)-WEEKDAY(DATE(YEAR(B124),3,14),1)+1 + TIME(2,0,0),
         DATE(YEAR(B124),4,7)-WEEKDAY(DATE(YEAR(B124),4,7),1)+1 + TIME(2,0,0)
       ),
  B124 &lt;  IF(
         YEAR(B124)&gt;=2007,
         DATE(YEAR(B124),11,7)-WEEKDAY(DATE(YEAR(B124),11,7),1)+1 + TIME(2,0,0),
         DATE(YEAR(B124),10,31)-WEEKDAY(DATE(YEAR(B124),10,31),1) + TIME(2,0,0)
       )
 ),
 "UTC-4",
 "UTC-5"
)</f>
        <v>UTC-4</v>
      </c>
      <c r="E124" s="1">
        <v>44.21</v>
      </c>
      <c r="F124" s="1">
        <v>45.11</v>
      </c>
      <c r="G124" s="1">
        <v>44.06</v>
      </c>
      <c r="H124" s="1">
        <v>44.88</v>
      </c>
    </row>
    <row r="125" spans="1:8" x14ac:dyDescent="0.35">
      <c r="A125" s="3">
        <v>46146</v>
      </c>
      <c r="B125" s="3">
        <v>46146</v>
      </c>
      <c r="C125" s="4">
        <v>0.67708333333333337</v>
      </c>
      <c r="D125" s="3" t="str">
        <f>IF(
 AND(
  B125 &gt;= IF(
         YEAR(B125)&gt;=2007,
         DATE(YEAR(B125),3,14)-WEEKDAY(DATE(YEAR(B125),3,14),1)+1 + TIME(2,0,0),
         DATE(YEAR(B125),4,7)-WEEKDAY(DATE(YEAR(B125),4,7),1)+1 + TIME(2,0,0)
       ),
  B125 &lt;  IF(
         YEAR(B125)&gt;=2007,
         DATE(YEAR(B125),11,7)-WEEKDAY(DATE(YEAR(B125),11,7),1)+1 + TIME(2,0,0),
         DATE(YEAR(B125),10,31)-WEEKDAY(DATE(YEAR(B125),10,31),1) + TIME(2,0,0)
       )
 ),
 "UTC-4",
 "UTC-5"
)</f>
        <v>UTC-4</v>
      </c>
      <c r="E125" s="1">
        <v>45.46</v>
      </c>
      <c r="F125" s="1">
        <v>46.48</v>
      </c>
      <c r="G125" s="1">
        <v>45.43</v>
      </c>
      <c r="H125" s="1">
        <v>46.05</v>
      </c>
    </row>
    <row r="126" spans="1:8" x14ac:dyDescent="0.35">
      <c r="A126" s="3">
        <v>46147</v>
      </c>
      <c r="B126" s="3">
        <v>46147</v>
      </c>
      <c r="C126" s="4">
        <v>0.67708333333333337</v>
      </c>
      <c r="D126" s="3" t="str">
        <f>IF(
 AND(
  B126 &gt;= IF(
         YEAR(B126)&gt;=2007,
         DATE(YEAR(B126),3,14)-WEEKDAY(DATE(YEAR(B126),3,14),1)+1 + TIME(2,0,0),
         DATE(YEAR(B126),4,7)-WEEKDAY(DATE(YEAR(B126),4,7),1)+1 + TIME(2,0,0)
       ),
  B126 &lt;  IF(
         YEAR(B126)&gt;=2007,
         DATE(YEAR(B126),11,7)-WEEKDAY(DATE(YEAR(B126),11,7),1)+1 + TIME(2,0,0),
         DATE(YEAR(B126),10,31)-WEEKDAY(DATE(YEAR(B126),10,31),1) + TIME(2,0,0)
       )
 ),
 "UTC-4",
 "UTC-5"
)</f>
        <v>UTC-4</v>
      </c>
      <c r="E126" s="1">
        <v>46.06</v>
      </c>
      <c r="F126" s="1">
        <v>46.34</v>
      </c>
      <c r="G126" s="1">
        <v>45.1</v>
      </c>
      <c r="H126" s="1">
        <v>45.23</v>
      </c>
    </row>
    <row r="127" spans="1:8" x14ac:dyDescent="0.35">
      <c r="A127" s="3">
        <v>46148</v>
      </c>
      <c r="B127" s="3">
        <v>46148</v>
      </c>
      <c r="C127" s="4">
        <v>0.67708333333333337</v>
      </c>
      <c r="D127" s="3" t="str">
        <f>IF(
 AND(
  B127 &gt;= IF(
         YEAR(B127)&gt;=2007,
         DATE(YEAR(B127),3,14)-WEEKDAY(DATE(YEAR(B127),3,14),1)+1 + TIME(2,0,0),
         DATE(YEAR(B127),4,7)-WEEKDAY(DATE(YEAR(B127),4,7),1)+1 + TIME(2,0,0)
       ),
  B127 &lt;  IF(
         YEAR(B127)&gt;=2007,
         DATE(YEAR(B127),11,7)-WEEKDAY(DATE(YEAR(B127),11,7),1)+1 + TIME(2,0,0),
         DATE(YEAR(B127),10,31)-WEEKDAY(DATE(YEAR(B127),10,31),1) + TIME(2,0,0)
       )
 ),
 "UTC-4",
 "UTC-5"
)</f>
        <v>UTC-4</v>
      </c>
      <c r="E127" s="1">
        <v>47.78</v>
      </c>
      <c r="F127" s="1">
        <v>47.79</v>
      </c>
      <c r="G127" s="1">
        <v>45.48</v>
      </c>
      <c r="H127" s="1">
        <v>45.55</v>
      </c>
    </row>
    <row r="128" spans="1:8" x14ac:dyDescent="0.35">
      <c r="A128" s="3">
        <v>46149</v>
      </c>
      <c r="B128" s="3">
        <v>46149</v>
      </c>
      <c r="C128" s="4">
        <v>0.67708333333333337</v>
      </c>
      <c r="D128" s="3" t="str">
        <f>IF(
 AND(
  B128 &gt;= IF(
         YEAR(B128)&gt;=2007,
         DATE(YEAR(B128),3,14)-WEEKDAY(DATE(YEAR(B128),3,14),1)+1 + TIME(2,0,0),
         DATE(YEAR(B128),4,7)-WEEKDAY(DATE(YEAR(B128),4,7),1)+1 + TIME(2,0,0)
       ),
  B128 &lt;  IF(
         YEAR(B128)&gt;=2007,
         DATE(YEAR(B128),11,7)-WEEKDAY(DATE(YEAR(B128),11,7),1)+1 + TIME(2,0,0),
         DATE(YEAR(B128),10,31)-WEEKDAY(DATE(YEAR(B128),10,31),1) + TIME(2,0,0)
       )
 ),
 "UTC-4",
 "UTC-5"
)</f>
        <v>UTC-4</v>
      </c>
      <c r="E128" s="1">
        <v>49.17</v>
      </c>
      <c r="F128" s="1">
        <v>49.23</v>
      </c>
      <c r="G128" s="1">
        <v>47.24</v>
      </c>
      <c r="H128" s="1">
        <v>47.39</v>
      </c>
    </row>
    <row r="129" spans="1:8" x14ac:dyDescent="0.35">
      <c r="A129" s="3">
        <v>46150</v>
      </c>
      <c r="B129" s="3">
        <v>46150</v>
      </c>
      <c r="C129" s="4">
        <v>0.67708333333333337</v>
      </c>
      <c r="D129" s="3" t="str">
        <f>IF(
 AND(
  B129 &gt;= IF(
         YEAR(B129)&gt;=2007,
         DATE(YEAR(B129),3,14)-WEEKDAY(DATE(YEAR(B129),3,14),1)+1 + TIME(2,0,0),
         DATE(YEAR(B129),4,7)-WEEKDAY(DATE(YEAR(B129),4,7),1)+1 + TIME(2,0,0)
       ),
  B129 &lt;  IF(
         YEAR(B129)&gt;=2007,
         DATE(YEAR(B129),11,7)-WEEKDAY(DATE(YEAR(B129),11,7),1)+1 + TIME(2,0,0),
         DATE(YEAR(B129),10,31)-WEEKDAY(DATE(YEAR(B129),10,31),1) + TIME(2,0,0)
       )
 ),
 "UTC-4",
 "UTC-5"
)</f>
        <v>UTC-4</v>
      </c>
      <c r="E129" s="1">
        <v>48.87</v>
      </c>
      <c r="F129" s="1">
        <v>49.5</v>
      </c>
      <c r="G129" s="1">
        <v>48.37</v>
      </c>
      <c r="H129" s="1">
        <v>48.88</v>
      </c>
    </row>
    <row r="130" spans="1:8" x14ac:dyDescent="0.35">
      <c r="A130" s="3">
        <v>46153</v>
      </c>
      <c r="B130" s="3">
        <v>46153</v>
      </c>
      <c r="C130" s="4">
        <v>0.67708333333333337</v>
      </c>
      <c r="D130" s="3" t="str">
        <f>IF(
 AND(
  B130 &gt;= IF(
         YEAR(B130)&gt;=2007,
         DATE(YEAR(B130),3,14)-WEEKDAY(DATE(YEAR(B130),3,14),1)+1 + TIME(2,0,0),
         DATE(YEAR(B130),4,7)-WEEKDAY(DATE(YEAR(B130),4,7),1)+1 + TIME(2,0,0)
       ),
  B130 &lt;  IF(
         YEAR(B130)&gt;=2007,
         DATE(YEAR(B130),11,7)-WEEKDAY(DATE(YEAR(B130),11,7),1)+1 + TIME(2,0,0),
         DATE(YEAR(B130),10,31)-WEEKDAY(DATE(YEAR(B130),10,31),1) + TIME(2,0,0)
       )
 ),
 "UTC-4",
 "UTC-5"
)</f>
        <v>UTC-4</v>
      </c>
      <c r="E130" s="1">
        <v>48.74</v>
      </c>
      <c r="F130" s="1">
        <v>51.34</v>
      </c>
      <c r="G130" s="1">
        <v>48.64</v>
      </c>
      <c r="H130" s="1">
        <v>50.43</v>
      </c>
    </row>
    <row r="131" spans="1:8" x14ac:dyDescent="0.35">
      <c r="A131" s="3">
        <v>46154</v>
      </c>
      <c r="B131" s="3">
        <v>46154</v>
      </c>
      <c r="C131" s="4">
        <v>0.67708333333333337</v>
      </c>
      <c r="D131" s="3" t="str">
        <f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1">
        <v>49.13</v>
      </c>
      <c r="F131" s="1">
        <v>49.96</v>
      </c>
      <c r="G131" s="1">
        <v>45.73</v>
      </c>
      <c r="H131" s="1">
        <v>49.83</v>
      </c>
    </row>
    <row r="132" spans="1:8" x14ac:dyDescent="0.35">
      <c r="A132" s="3">
        <v>46155</v>
      </c>
      <c r="B132" s="3">
        <v>46155</v>
      </c>
      <c r="C132" s="4">
        <v>0.67708333333333337</v>
      </c>
      <c r="D132" s="3" t="str">
        <f>IF(
 AND(
  B132 &gt;= IF(
         YEAR(B132)&gt;=2007,
         DATE(YEAR(B132),3,14)-WEEKDAY(DATE(YEAR(B132),3,14),1)+1 + TIME(2,0,0),
         DATE(YEAR(B132),4,7)-WEEKDAY(DATE(YEAR(B132),4,7),1)+1 + TIME(2,0,0)
       ),
  B132 &lt;  IF(
         YEAR(B132)&gt;=2007,
         DATE(YEAR(B132),11,7)-WEEKDAY(DATE(YEAR(B132),11,7),1)+1 + TIME(2,0,0),
         DATE(YEAR(B132),10,31)-WEEKDAY(DATE(YEAR(B132),10,31),1) + TIME(2,0,0)
       )
 ),
 "UTC-4",
 "UTC-5"
)</f>
        <v>UTC-4</v>
      </c>
      <c r="E132" s="1">
        <v>50</v>
      </c>
      <c r="F132" s="1">
        <v>50.28</v>
      </c>
      <c r="G132" s="1">
        <v>49.11</v>
      </c>
      <c r="H132" s="1">
        <v>50</v>
      </c>
    </row>
    <row r="133" spans="1:8" x14ac:dyDescent="0.35">
      <c r="A133" s="3">
        <v>46156</v>
      </c>
      <c r="B133" s="3">
        <v>46156</v>
      </c>
      <c r="C133" s="4">
        <v>0.67708333333333337</v>
      </c>
      <c r="D133" s="3" t="str">
        <f>IF(
 AND(
  B133 &gt;= IF(
         YEAR(B133)&gt;=2007,
         DATE(YEAR(B133),3,14)-WEEKDAY(DATE(YEAR(B133),3,14),1)+1 + TIME(2,0,0),
         DATE(YEAR(B133),4,7)-WEEKDAY(DATE(YEAR(B133),4,7),1)+1 + TIME(2,0,0)
       ),
  B133 &lt;  IF(
         YEAR(B133)&gt;=2007,
         DATE(YEAR(B133),11,7)-WEEKDAY(DATE(YEAR(B133),11,7),1)+1 + TIME(2,0,0),
         DATE(YEAR(B133),10,31)-WEEKDAY(DATE(YEAR(B133),10,31),1) + TIME(2,0,0)
       )
 ),
 "UTC-4",
 "UTC-5"
)</f>
        <v>UTC-4</v>
      </c>
      <c r="E133" s="1">
        <v>47.78</v>
      </c>
      <c r="F133" s="1">
        <v>51.54</v>
      </c>
      <c r="G133" s="1">
        <v>47.78</v>
      </c>
      <c r="H133" s="1">
        <v>51.53</v>
      </c>
    </row>
    <row r="134" spans="1:8" x14ac:dyDescent="0.35">
      <c r="A134" s="3">
        <v>46157</v>
      </c>
      <c r="B134" s="3">
        <v>46157</v>
      </c>
      <c r="C134" s="4">
        <v>0.67708333333333337</v>
      </c>
      <c r="D134" s="3" t="str">
        <f>IF(
 AND(
  B134 &gt;= IF(
         YEAR(B134)&gt;=2007,
         DATE(YEAR(B134),3,14)-WEEKDAY(DATE(YEAR(B134),3,14),1)+1 + TIME(2,0,0),
         DATE(YEAR(B134),4,7)-WEEKDAY(DATE(YEAR(B134),4,7),1)+1 + TIME(2,0,0)
       ),
  B134 &lt;  IF(
         YEAR(B134)&gt;=2007,
         DATE(YEAR(B134),11,7)-WEEKDAY(DATE(YEAR(B134),11,7),1)+1 + TIME(2,0,0),
         DATE(YEAR(B134),10,31)-WEEKDAY(DATE(YEAR(B134),10,31),1) + TIME(2,0,0)
       )
 ),
 "UTC-4",
 "UTC-5"
)</f>
        <v>UTC-4</v>
      </c>
      <c r="E134" s="1">
        <v>47.46</v>
      </c>
      <c r="F134" s="1">
        <v>48.82</v>
      </c>
      <c r="G134" s="1">
        <v>46.03</v>
      </c>
      <c r="H134" s="1">
        <v>47.87</v>
      </c>
    </row>
    <row r="135" spans="1:8" x14ac:dyDescent="0.35">
      <c r="A135" s="3">
        <v>46160</v>
      </c>
      <c r="B135" s="3">
        <v>46160</v>
      </c>
      <c r="C135" s="4">
        <v>0.67708333333333337</v>
      </c>
      <c r="D135" s="3" t="str">
        <f>IF(
 AND(
  B135 &gt;= IF(
         YEAR(B135)&gt;=2007,
         DATE(YEAR(B135),3,14)-WEEKDAY(DATE(YEAR(B135),3,14),1)+1 + TIME(2,0,0),
         DATE(YEAR(B135),4,7)-WEEKDAY(DATE(YEAR(B135),4,7),1)+1 + TIME(2,0,0)
       ),
  B135 &lt;  IF(
         YEAR(B135)&gt;=2007,
         DATE(YEAR(B135),11,7)-WEEKDAY(DATE(YEAR(B135),11,7),1)+1 + TIME(2,0,0),
         DATE(YEAR(B135),10,31)-WEEKDAY(DATE(YEAR(B135),10,31),1) + TIME(2,0,0)
       )
 ),
 "UTC-4",
 "UTC-5"
)</f>
        <v>UTC-4</v>
      </c>
      <c r="E135" s="1">
        <v>49.34</v>
      </c>
      <c r="F135" s="1">
        <v>51.58</v>
      </c>
      <c r="G135" s="1">
        <v>48.2</v>
      </c>
      <c r="H135" s="1">
        <v>49.98</v>
      </c>
    </row>
    <row r="136" spans="1:8" x14ac:dyDescent="0.35">
      <c r="A136" s="3">
        <v>46161</v>
      </c>
      <c r="B136" s="3">
        <v>46161</v>
      </c>
      <c r="C136" s="4">
        <v>0.67708333333333337</v>
      </c>
      <c r="D136" s="3" t="str">
        <f>IF(
 AND(
  B136 &gt;= IF(
         YEAR(B136)&gt;=2007,
         DATE(YEAR(B136),3,14)-WEEKDAY(DATE(YEAR(B136),3,14),1)+1 + TIME(2,0,0),
         DATE(YEAR(B136),4,7)-WEEKDAY(DATE(YEAR(B136),4,7),1)+1 + TIME(2,0,0)
       ),
  B136 &lt;  IF(
         YEAR(B136)&gt;=2007,
         DATE(YEAR(B136),11,7)-WEEKDAY(DATE(YEAR(B136),11,7),1)+1 + TIME(2,0,0),
         DATE(YEAR(B136),10,31)-WEEKDAY(DATE(YEAR(B136),10,31),1) + TIME(2,0,0)
       )
 ),
 "UTC-4",
 "UTC-5"
)</f>
        <v>UTC-4</v>
      </c>
      <c r="E136" s="1">
        <v>48.47</v>
      </c>
      <c r="F136" s="1">
        <v>49.84</v>
      </c>
      <c r="G136" s="1">
        <v>48.39</v>
      </c>
      <c r="H136" s="1">
        <v>49.63</v>
      </c>
    </row>
    <row r="137" spans="1:8" x14ac:dyDescent="0.35">
      <c r="A137" s="3">
        <v>46162</v>
      </c>
      <c r="B137" s="3">
        <v>46162</v>
      </c>
      <c r="C137" s="4">
        <v>0.67708333333333337</v>
      </c>
      <c r="D137" s="3" t="str">
        <f>IF(
 AND(
  B137 &gt;= IF(
         YEAR(B137)&gt;=2007,
         DATE(YEAR(B137),3,14)-WEEKDAY(DATE(YEAR(B137),3,14),1)+1 + TIME(2,0,0),
         DATE(YEAR(B137),4,7)-WEEKDAY(DATE(YEAR(B137),4,7),1)+1 + TIME(2,0,0)
       ),
  B137 &lt;  IF(
         YEAR(B137)&gt;=2007,
         DATE(YEAR(B137),11,7)-WEEKDAY(DATE(YEAR(B137),11,7),1)+1 + TIME(2,0,0),
         DATE(YEAR(B137),10,31)-WEEKDAY(DATE(YEAR(B137),10,31),1) + TIME(2,0,0)
       )
 ),
 "UTC-4",
 "UTC-5"
)</f>
        <v>UTC-4</v>
      </c>
      <c r="E137" s="1">
        <v>48.26</v>
      </c>
      <c r="F137" s="1">
        <v>49.02</v>
      </c>
      <c r="G137" s="1">
        <v>47.96</v>
      </c>
      <c r="H137" s="1">
        <v>48.91</v>
      </c>
    </row>
    <row r="138" spans="1:8" x14ac:dyDescent="0.35">
      <c r="A138" s="3">
        <v>46163</v>
      </c>
      <c r="B138" s="3">
        <v>46163</v>
      </c>
      <c r="C138" s="4">
        <v>0.67708333333333337</v>
      </c>
      <c r="D138" s="3" t="str">
        <f>IF(
 AND(
  B138 &gt;= IF(
         YEAR(B138)&gt;=2007,
         DATE(YEAR(B138),3,14)-WEEKDAY(DATE(YEAR(B138),3,14),1)+1 + TIME(2,0,0),
         DATE(YEAR(B138),4,7)-WEEKDAY(DATE(YEAR(B138),4,7),1)+1 + TIME(2,0,0)
       ),
  B138 &lt;  IF(
         YEAR(B138)&gt;=2007,
         DATE(YEAR(B138),11,7)-WEEKDAY(DATE(YEAR(B138),11,7),1)+1 + TIME(2,0,0),
         DATE(YEAR(B138),10,31)-WEEKDAY(DATE(YEAR(B138),10,31),1) + TIME(2,0,0)
       )
 ),
 "UTC-4",
 "UTC-5"
)</f>
        <v>UTC-4</v>
      </c>
      <c r="E138" s="1">
        <v>48.07</v>
      </c>
      <c r="F138" s="1">
        <v>49.64</v>
      </c>
      <c r="G138" s="1">
        <v>47.77</v>
      </c>
      <c r="H138" s="1">
        <v>49.23</v>
      </c>
    </row>
    <row r="139" spans="1:8" x14ac:dyDescent="0.35">
      <c r="A139" s="3">
        <v>46164</v>
      </c>
      <c r="B139" s="3">
        <v>46164</v>
      </c>
      <c r="C139" s="4">
        <v>0.67708333333333337</v>
      </c>
      <c r="D139" s="3" t="str">
        <f>IF(
 AND(
  B139 &gt;= IF(
         YEAR(B139)&gt;=2007,
         DATE(YEAR(B139),3,14)-WEEKDAY(DATE(YEAR(B139),3,14),1)+1 + TIME(2,0,0),
         DATE(YEAR(B139),4,7)-WEEKDAY(DATE(YEAR(B139),4,7),1)+1 + TIME(2,0,0)
       ),
  B139 &lt;  IF(
         YEAR(B139)&gt;=2007,
         DATE(YEAR(B139),11,7)-WEEKDAY(DATE(YEAR(B139),11,7),1)+1 + TIME(2,0,0),
         DATE(YEAR(B139),10,31)-WEEKDAY(DATE(YEAR(B139),10,31),1) + TIME(2,0,0)
       )
 ),
 "UTC-4",
 "UTC-5"
)</f>
        <v>UTC-4</v>
      </c>
      <c r="E139" s="1">
        <v>47.26</v>
      </c>
      <c r="F139" s="1">
        <v>49.21</v>
      </c>
      <c r="G139" s="1">
        <v>47.05</v>
      </c>
      <c r="H139" s="1">
        <v>49.1</v>
      </c>
    </row>
    <row r="140" spans="1:8" x14ac:dyDescent="0.35">
      <c r="A140" s="3">
        <v>46168</v>
      </c>
      <c r="B140" s="3">
        <v>46168</v>
      </c>
      <c r="C140" s="4">
        <v>0.67708333333333337</v>
      </c>
      <c r="D140" s="3" t="str">
        <f>IF(
 AND(
  B140 &gt;= IF(
         YEAR(B140)&gt;=2007,
         DATE(YEAR(B140),3,14)-WEEKDAY(DATE(YEAR(B140),3,14),1)+1 + TIME(2,0,0),
         DATE(YEAR(B140),4,7)-WEEKDAY(DATE(YEAR(B140),4,7),1)+1 + TIME(2,0,0)
       ),
  B140 &lt;  IF(
         YEAR(B140)&gt;=2007,
         DATE(YEAR(B140),11,7)-WEEKDAY(DATE(YEAR(B140),11,7),1)+1 + TIME(2,0,0),
         DATE(YEAR(B140),10,31)-WEEKDAY(DATE(YEAR(B140),10,31),1) + TIME(2,0,0)
       )
 ),
 "UTC-4",
 "UTC-5"
)</f>
        <v>UTC-4</v>
      </c>
      <c r="E140" s="1">
        <v>50.03</v>
      </c>
      <c r="F140" s="1">
        <v>50.03</v>
      </c>
      <c r="G140" s="1">
        <v>48.93</v>
      </c>
      <c r="H140" s="1">
        <v>49.43</v>
      </c>
    </row>
    <row r="141" spans="1:8" x14ac:dyDescent="0.35">
      <c r="A141" s="3">
        <v>46169</v>
      </c>
      <c r="B141" s="3">
        <v>46169</v>
      </c>
      <c r="C141" s="4">
        <v>0.67708333333333337</v>
      </c>
      <c r="D141" s="3" t="str">
        <f>IF(
 AND(
  B141 &gt;= IF(
         YEAR(B141)&gt;=2007,
         DATE(YEAR(B141),3,14)-WEEKDAY(DATE(YEAR(B141),3,14),1)+1 + TIME(2,0,0),
         DATE(YEAR(B141),4,7)-WEEKDAY(DATE(YEAR(B141),4,7),1)+1 + TIME(2,0,0)
       ),
  B141 &lt;  IF(
         YEAR(B141)&gt;=2007,
         DATE(YEAR(B141),11,7)-WEEKDAY(DATE(YEAR(B141),11,7),1)+1 + TIME(2,0,0),
         DATE(YEAR(B141),10,31)-WEEKDAY(DATE(YEAR(B141),10,31),1) + TIME(2,0,0)
       )
 ),
 "UTC-4",
 "UTC-5"
)</f>
        <v>UTC-4</v>
      </c>
      <c r="E141" s="1">
        <v>47.84</v>
      </c>
      <c r="F141" s="1">
        <v>50.33</v>
      </c>
      <c r="G141" s="1">
        <v>47.79</v>
      </c>
      <c r="H141" s="1">
        <v>50.32</v>
      </c>
    </row>
    <row r="142" spans="1:8" x14ac:dyDescent="0.35">
      <c r="A142" s="3">
        <v>46170</v>
      </c>
      <c r="B142" s="3">
        <v>46170</v>
      </c>
      <c r="C142" s="4">
        <v>0.67708333333333337</v>
      </c>
      <c r="D142" s="3" t="str">
        <f>IF(
 AND(
  B142 &gt;= IF(
         YEAR(B142)&gt;=2007,
         DATE(YEAR(B142),3,14)-WEEKDAY(DATE(YEAR(B142),3,14),1)+1 + TIME(2,0,0),
         DATE(YEAR(B142),4,7)-WEEKDAY(DATE(YEAR(B142),4,7),1)+1 + TIME(2,0,0)
       ),
  B142 &lt;  IF(
         YEAR(B142)&gt;=2007,
         DATE(YEAR(B142),11,7)-WEEKDAY(DATE(YEAR(B142),11,7),1)+1 + TIME(2,0,0),
         DATE(YEAR(B142),10,31)-WEEKDAY(DATE(YEAR(B142),10,31),1) + TIME(2,0,0)
       )
 ),
 "UTC-4",
 "UTC-5"
)</f>
        <v>UTC-4</v>
      </c>
      <c r="E142" s="1">
        <v>48.95</v>
      </c>
      <c r="F142" s="1">
        <v>49.04</v>
      </c>
      <c r="G142" s="1">
        <v>47.4</v>
      </c>
      <c r="H142" s="1">
        <v>47.51</v>
      </c>
    </row>
    <row r="143" spans="1:8" x14ac:dyDescent="0.35">
      <c r="A143" s="3">
        <v>46171</v>
      </c>
      <c r="B143" s="3">
        <v>46171</v>
      </c>
      <c r="C143" s="4">
        <v>0.67708333333333337</v>
      </c>
      <c r="D143" s="3" t="str">
        <f>IF(
 AND(
  B143 &gt;= IF(
         YEAR(B143)&gt;=2007,
         DATE(YEAR(B143),3,14)-WEEKDAY(DATE(YEAR(B143),3,14),1)+1 + TIME(2,0,0),
         DATE(YEAR(B143),4,7)-WEEKDAY(DATE(YEAR(B143),4,7),1)+1 + TIME(2,0,0)
       ),
  B143 &lt;  IF(
         YEAR(B143)&gt;=2007,
         DATE(YEAR(B143),11,7)-WEEKDAY(DATE(YEAR(B143),11,7),1)+1 + TIME(2,0,0),
         DATE(YEAR(B143),10,31)-WEEKDAY(DATE(YEAR(B143),10,31),1) + TIME(2,0,0)
       )
 ),
 "UTC-4",
 "UTC-5"
)</f>
        <v>UTC-4</v>
      </c>
      <c r="E143" s="1">
        <v>49.15</v>
      </c>
      <c r="F143" s="1">
        <v>50.4</v>
      </c>
      <c r="G143" s="1">
        <v>48.82</v>
      </c>
      <c r="H143" s="1">
        <v>48.9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VXGDX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이정훈</cp:lastModifiedBy>
  <dcterms:created xsi:type="dcterms:W3CDTF">2026-05-31T07:23:16Z</dcterms:created>
  <dcterms:modified xsi:type="dcterms:W3CDTF">2026-05-31T09:55:11Z</dcterms:modified>
</cp:coreProperties>
</file>