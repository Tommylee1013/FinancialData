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455C3BC-5250-4D47-AC99-74C0BA05D684}" xr6:coauthVersionLast="47" xr6:coauthVersionMax="47" xr10:uidLastSave="{00000000-0000-0000-0000-000000000000}"/>
  <bookViews>
    <workbookView xWindow="28680" yWindow="-120" windowWidth="29040" windowHeight="15720" tabRatio="707" firstSheet="6" activeTab="24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Sheet1" sheetId="32" r:id="rId11"/>
    <sheet name="CSI" sheetId="20" r:id="rId12"/>
    <sheet name="CICFI" sheetId="21" r:id="rId13"/>
    <sheet name="SEAFI" sheetId="24" r:id="rId14"/>
    <sheet name="BRSTI" sheetId="26" r:id="rId15"/>
    <sheet name="BRTVI" sheetId="25" r:id="rId16"/>
    <sheet name="BRCVI" sheetId="27" r:id="rId17"/>
    <sheet name="SRFI" sheetId="28" r:id="rId18"/>
    <sheet name="GCSPI" sheetId="5" r:id="rId19"/>
    <sheet name="PCSR" sheetId="31" r:id="rId20"/>
    <sheet name="TWFI" sheetId="22" r:id="rId21"/>
    <sheet name="CCRI" sheetId="7" r:id="rId22"/>
    <sheet name="CCFI_BB" sheetId="3" r:id="rId23"/>
    <sheet name="info" sheetId="4" r:id="rId24"/>
    <sheet name="fig" sheetId="30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<sst xmlns="http://schemas.openxmlformats.org/spreadsheetml/2006/main" count="4829" uniqueCount="516">
  <si>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</si>
  <si>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</si>
  <si>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</si>
  <si>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</si>
  <si>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</si>
  <si>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</si>
  <si>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</si>
  <si>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</si>
  <si>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</si>
  <si>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</si>
  <si>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</si>
  <si>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</si>
  <si>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</si>
  <si>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</si>
  <si>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</si>
  <si>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</si>
  <si>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</si>
  <si>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</si>
  <si>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</si>
  <si>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</si>
  <si>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</si>
  <si>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</si>
  <si>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</si>
  <si>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</si>
  <si>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</si>
  <si>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</si>
  <si>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</si>
  <si>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</si>
  <si>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</si>
  <si>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</si>
  <si>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</si>
  <si>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</si>
  <si>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</si>
  <si>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</si>
  <si>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</si>
  <si>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</si>
  <si>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</si>
  <si>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</si>
  <si>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</si>
  <si>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</si>
  <si>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</si>
  <si>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</si>
  <si>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</si>
  <si>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</si>
  <si>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</si>
  <si>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</si>
  <si>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</si>
  <si>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</si>
  <si>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</si>
  <si>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</si>
  <si>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</si>
  <si>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</si>
  <si>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</si>
  <si>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</si>
  <si>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</si>
  <si>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</si>
  <si>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</si>
  <si>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</si>
  <si>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</si>
  <si>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</si>
  <si>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</si>
  <si>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</si>
  <si>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</si>
  <si>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</si>
  <si>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</si>
  <si>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</si>
  <si>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</si>
  <si>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</si>
  <si>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</si>
  <si>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</si>
  <si>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</si>
  <si>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</si>
  <si>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</si>
  <si>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</si>
  <si>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</si>
  <si>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</si>
  <si>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</si>
  <si>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</si>
  <si>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</si>
  <si>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</si>
  <si>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</si>
  <si>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</si>
  <si>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</si>
  <si>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</si>
  <si>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</si>
  <si>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</si>
  <si>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</si>
  <si>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</si>
  <si>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</si>
  <si>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</si>
  <si>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</si>
  <si>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</si>
  <si>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</si>
  <si>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</si>
  <si>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</si>
  <si>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</si>
  <si>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</si>
  <si>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</si>
  <si>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</si>
  <si>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</si>
  <si>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</si>
  <si>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</si>
  <si>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</si>
  <si>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</si>
  <si>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</si>
  <si>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</si>
  <si>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</si>
  <si>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</si>
  <si>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</si>
  <si>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</si>
  <si>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</si>
  <si>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</si>
  <si>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</si>
  <si>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</si>
  <si>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</si>
  <si>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</si>
  <si>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</si>
  <si>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</si>
  <si>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</si>
  <si>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</si>
  <si>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</si>
  <si>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</si>
  <si>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</si>
  <si>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</si>
  <si>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</si>
  <si>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</si>
  <si>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</si>
  <si>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</si>
  <si>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</si>
  <si>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</si>
  <si>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</si>
  <si>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</si>
  <si>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</si>
  <si>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</si>
  <si>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</si>
  <si>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</si>
  <si>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</si>
  <si>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</si>
  <si>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</si>
  <si>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</si>
  <si>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</si>
  <si>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</si>
  <si>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</si>
  <si>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</si>
  <si>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</si>
  <si>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</si>
  <si>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</si>
  <si>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</si>
  <si>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</si>
  <si>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</si>
  <si>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</si>
  <si>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</si>
  <si>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</si>
  <si>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</si>
  <si>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</si>
  <si>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</si>
  <si>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</si>
  <si>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</si>
  <si>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</si>
  <si>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</si>
  <si>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</si>
  <si>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</si>
  <si>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</si>
  <si>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</si>
  <si>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</si>
  <si>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</si>
  <si>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</si>
  <si>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</si>
  <si>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</si>
  <si>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</si>
  <si>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</si>
  <si>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</si>
  <si>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</si>
  <si>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</si>
  <si>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</si>
  <si>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</si>
  <si>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</si>
  <si>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</si>
  <si>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</si>
  <si>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</si>
  <si>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</si>
  <si>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</si>
  <si>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</si>
  <si>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</si>
  <si>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</si>
  <si>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</si>
  <si>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</si>
  <si>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</si>
  <si>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</si>
  <si>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</si>
  <si>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</si>
  <si>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</si>
  <si>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</si>
  <si>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</si>
  <si>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</si>
  <si>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</si>
  <si>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</si>
  <si>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</si>
  <si>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</si>
  <si>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</si>
  <si>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</si>
  <si>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</si>
  <si>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</si>
  <si>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</si>
  <si>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</si>
  <si>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</si>
  <si>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</si>
  <si>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</si>
  <si>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</si>
  <si>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</si>
  <si>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</si>
  <si>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</si>
  <si>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</si>
  <si>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</si>
  <si>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</si>
  <si>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</si>
  <si>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</si>
  <si>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</si>
  <si>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</si>
  <si>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</si>
  <si>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</si>
  <si>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</si>
  <si>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</si>
  <si>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</si>
  <si>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</si>
  <si>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</si>
  <si>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</si>
  <si>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</si>
  <si>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</si>
  <si>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</si>
  <si>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</si>
  <si>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</si>
  <si>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</si>
  <si>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</si>
  <si>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</si>
  <si>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</si>
  <si>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</si>
  <si>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</si>
  <si>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</si>
  <si>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</si>
  <si>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</si>
  <si>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</si>
  <si>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</si>
  <si>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</si>
  <si>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</si>
  <si>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</si>
  <si>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</si>
  <si>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</si>
  <si>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</si>
  <si>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</si>
  <si>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</si>
  <si>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</si>
  <si>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</si>
  <si>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</si>
  <si>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</si>
  <si>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</si>
  <si>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</si>
  <si>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</si>
  <si>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</si>
  <si>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</si>
  <si>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</si>
  <si>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</si>
  <si>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</si>
  <si>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</si>
  <si>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</si>
  <si>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</si>
  <si>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</si>
  <si>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</si>
  <si>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</si>
  <si>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</si>
  <si>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</si>
  <si>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</si>
  <si>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</si>
  <si>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</si>
  <si>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</si>
  <si>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</si>
  <si>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</si>
  <si>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</si>
  <si>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</si>
  <si>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</si>
  <si>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</si>
  <si>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</si>
  <si>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</si>
  <si>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</si>
  <si>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</si>
  <si>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</si>
  <si>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</si>
  <si>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</si>
  <si>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</si>
  <si>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</si>
  <si>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</si>
  <si>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</si>
  <si>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</si>
  <si>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</si>
  <si>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</si>
  <si>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</si>
  <si>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</si>
  <si>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</si>
  <si>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</si>
  <si>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</si>
  <si>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</si>
  <si>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</si>
  <si>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</si>
  <si>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</si>
  <si>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</si>
  <si>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</si>
  <si>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</si>
  <si>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</si>
  <si>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</si>
  <si>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</si>
  <si>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</si>
  <si>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</si>
  <si>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</si>
  <si>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</si>
  <si>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</si>
  <si>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</si>
  <si>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</si>
  <si>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</si>
  <si>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</si>
  <si>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</si>
  <si>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</si>
  <si>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</si>
  <si>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</si>
  <si>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</si>
  <si>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</si>
  <si>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</si>
  <si>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</si>
  <si>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</si>
  <si>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</si>
  <si>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</si>
  <si>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</si>
  <si>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</si>
  <si>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</si>
  <si>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</si>
  <si>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</si>
  <si>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</si>
  <si>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</si>
  <si>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</si>
  <si>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</si>
  <si>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</si>
  <si>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</si>
  <si>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</si>
  <si>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</si>
  <si>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</si>
  <si>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</si>
  <si>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</si>
  <si>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</si>
  <si>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</si>
  <si>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</si>
  <si>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</si>
  <si>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</si>
  <si>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</si>
  <si>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</si>
  <si>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</si>
  <si>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</si>
  <si>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</si>
  <si>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</si>
  <si>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</si>
  <si>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</si>
  <si>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</si>
  <si>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</si>
  <si>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</si>
  <si>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</si>
  <si>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</si>
  <si>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</si>
  <si>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</si>
  <si>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</si>
  <si>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</si>
  <si>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</si>
  <si>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</si>
  <si>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</si>
  <si>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</si>
  <si>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</si>
  <si>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</si>
  <si>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</si>
  <si>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</si>
  <si>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</si>
  <si>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</si>
  <si>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</si>
  <si>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</si>
  <si>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</si>
  <si>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</si>
  <si>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</si>
  <si>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</si>
  <si>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</si>
  <si>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</si>
  <si>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</si>
  <si>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</si>
  <si>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</si>
  <si>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</si>
  <si>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</si>
  <si>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</si>
  <si>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</si>
  <si>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</si>
  <si>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</si>
  <si>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</si>
  <si>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</si>
  <si>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</si>
  <si>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</si>
  <si>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</si>
  <si>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</si>
  <si>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</si>
  <si>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</si>
  <si>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</si>
  <si>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</si>
  <si>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</si>
  <si>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</si>
  <si>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</si>
  <si>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</si>
  <si>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</si>
  <si>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</si>
  <si>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</si>
  <si>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</si>
  <si>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</si>
  <si>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</si>
  <si>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</si>
  <si>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</si>
  <si>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</si>
  <si>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</si>
  <si>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</si>
  <si>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</si>
  <si>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</si>
  <si>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</si>
  <si>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</si>
  <si>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</si>
  <si>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</si>
  <si>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</si>
  <si>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</si>
  <si>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</si>
  <si>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</si>
  <si>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</si>
  <si>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</si>
  <si>
    <t>Description</t>
  </si>
  <si>
    <t>Volume</t>
  </si>
  <si>
    <t>Cargo</t>
  </si>
  <si>
    <t>Unit</t>
  </si>
  <si>
    <t>Rate</t>
  </si>
  <si>
    <t>Change</t>
  </si>
  <si>
    <t>Composite Index</t>
  </si>
  <si>
    <t>Point</t>
  </si>
  <si>
    <t>Iron ore Freight Index</t>
  </si>
  <si>
    <t>Dampier(West Australia)-Qingdao (China)</t>
  </si>
  <si>
    <t>170000/10%</t>
  </si>
  <si>
    <t>Iron ore</t>
  </si>
  <si>
    <t>$/ton</t>
  </si>
  <si>
    <t>Tubarao(Brazil)-Qingdao(China)</t>
  </si>
  <si>
    <t>Saldanha(South Africa)—Qingdao(China)</t>
  </si>
  <si>
    <t>Geraldton(Australia)—Qingdao(China)</t>
  </si>
  <si>
    <t>60000/10%</t>
  </si>
  <si>
    <t>Coal Freight Index</t>
  </si>
  <si>
    <t>Newcastle(Australia)—Zhoushan(China)</t>
  </si>
  <si>
    <t>130000/10%</t>
  </si>
  <si>
    <t>Coal</t>
  </si>
  <si>
    <t>Hay Point(Australia)—Zhoushan (China)</t>
  </si>
  <si>
    <t>85000/10%</t>
  </si>
  <si>
    <t>Samarinda(Indonesia)—Guangzhou(China)</t>
  </si>
  <si>
    <t>70000/10%</t>
  </si>
  <si>
    <t>Taboneo(Indonesia)—Guangzhou(China)</t>
  </si>
  <si>
    <t>50000/10%</t>
  </si>
  <si>
    <t>Taboneo(Indonesia)—Nantong(China)</t>
  </si>
  <si>
    <t>45000/10%</t>
  </si>
  <si>
    <t>Soybean Freight Index</t>
  </si>
  <si>
    <t>Santos(Brazil)— North China</t>
  </si>
  <si>
    <t>66000/10%</t>
  </si>
  <si>
    <t>Soybean</t>
  </si>
  <si>
    <t>Tacoma(West America)—North China</t>
  </si>
  <si>
    <t>63000/10%</t>
  </si>
  <si>
    <t>Mississippi(US Gulf)—North China</t>
  </si>
  <si>
    <t>Nickel ore Freight Index</t>
  </si>
  <si>
    <t>Surigao(Philippines)—Rizhao(China)</t>
  </si>
  <si>
    <t>Nickel ore</t>
  </si>
  <si>
    <t>Route</t>
  </si>
  <si>
    <t>Size MT</t>
  </si>
  <si>
    <t>Cargo/Vessel Size</t>
  </si>
  <si>
    <t>FDI Composite Index</t>
  </si>
  <si>
    <t>FDI VC Index</t>
  </si>
  <si>
    <t>FDI TCT Index</t>
  </si>
  <si>
    <t>Capesize TCT Index</t>
  </si>
  <si>
    <t>China-Japan/Pacific Round Voyage</t>
  </si>
  <si>
    <t>180000DWT</t>
  </si>
  <si>
    <t>Capesize</t>
  </si>
  <si>
    <t>$/day</t>
  </si>
  <si>
    <t>Dampier(West Australia)—Qingdao(China)</t>
  </si>
  <si>
    <t>Tubarao(Brazil)—Qingdao( China)</t>
  </si>
  <si>
    <t>Panamax TCT Index</t>
  </si>
  <si>
    <t>China-Japan/Pacific round-trip voyage</t>
  </si>
  <si>
    <t>82000DWT</t>
  </si>
  <si>
    <t>Karsamax</t>
  </si>
  <si>
    <t>Southern China via Indonesia to South Korea</t>
  </si>
  <si>
    <t>76000DWT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</si>
  <si>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</si>
  <si>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</si>
  <si>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</si>
  <si>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</si>
  <si>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</si>
  <si>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57000DWT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</si>
  <si>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</si>
  <si>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</si>
  <si>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</si>
  <si>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</si>
  <si>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</si>
  <si>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Trade Routes Description</t>
  </si>
  <si>
    <t>Tons</t>
  </si>
  <si>
    <t>Vessel Type</t>
  </si>
  <si>
    <t>Weight</t>
  </si>
  <si>
    <t>Current Index</t>
  </si>
  <si>
    <t>Comprehensive Index</t>
  </si>
  <si>
    <t>ME Gulf Ras Tannura to China Ningbo(CT1)</t>
  </si>
  <si>
    <t>270000MT</t>
  </si>
  <si>
    <t>VLCC</t>
  </si>
  <si>
    <t>WS</t>
  </si>
  <si>
    <t>$/MT</t>
  </si>
  <si>
    <t>West Africa Malongo and Djeno to China Ningbo(CT2)</t>
  </si>
  <si>
    <t>260000MT</t>
  </si>
  <si>
    <t>US Gulf STS to China Ningbo(CT4)</t>
  </si>
  <si>
    <t>USD10000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</si>
</sst>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0" fillId="0" borderId="0" xfId="0" applyNumberForma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5"/>
  <sheetViews>
    <sheetView zoomScaleNormal="100" workbookViewId="0">
      <pane xSplit="6" ySplit="3" topLeftCell="G1250" activePane="bottomRight" state="frozen"/>
      <selection pane="topRight" activeCell="E1" sqref="E1"/>
      <selection pane="bottomLeft" activeCell="A4" sqref="A4"/>
      <selection pane="bottomRight" activeCell="G1268" sqref="G1268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1"/>
  <sheetViews>
    <sheetView zoomScaleNormal="100" workbookViewId="0">
      <pane xSplit="5" ySplit="5" topLeftCell="F851" activePane="bottomRight" state="frozen"/>
      <selection pane="topRight" activeCell="F1" sqref="F1"/>
      <selection pane="bottomLeft" activeCell="A6" sqref="A6"/>
      <selection pane="bottomRight" activeCell="E862" sqref="E862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5"/>
  <sheetViews>
    <sheetView zoomScaleNormal="100" workbookViewId="0">
      <pane xSplit="6" ySplit="3" topLeftCell="G19" activePane="bottomRight" state="frozen"/>
      <selection pane="topRight" activeCell="G1" sqref="G1"/>
      <selection pane="bottomLeft" activeCell="A4" sqref="A4"/>
      <selection pane="bottomRight" activeCell="C52" sqref="C52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4"/>
  <sheetViews>
    <sheetView zoomScaleNormal="100" workbookViewId="0">
      <pane xSplit="6" ySplit="3" topLeftCell="X19" activePane="bottomRight" state="frozen"/>
      <selection pane="topRight" activeCell="G1" sqref="G1"/>
      <selection pane="bottomLeft" activeCell="A5" sqref="A5"/>
      <selection pane="bottomRight" activeCell="D50" sqref="D50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6"/>
  <sheetViews>
    <sheetView zoomScaleNormal="100" workbookViewId="0">
      <pane xSplit="5" ySplit="4" topLeftCell="F142" activePane="bottomRight" state="frozen"/>
      <selection pane="topRight" activeCell="F1" sqref="F1"/>
      <selection pane="bottomLeft" activeCell="A5" sqref="A5"/>
      <selection pane="bottomRight" activeCell="F156" sqref="F156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5"/>
  <sheetViews>
    <sheetView zoomScaleNormal="100" workbookViewId="0">
      <pane xSplit="4" ySplit="3" topLeftCell="E65" activePane="bottomRight" state="frozen"/>
      <selection pane="topRight" activeCell="E1" sqref="E1"/>
      <selection pane="bottomLeft" activeCell="A6" sqref="A6"/>
      <selection pane="bottomRight" activeCell="K95" sqref="K95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3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3" sqref="I33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6"/>
  <sheetViews>
    <sheetView zoomScaleNormal="100" workbookViewId="0">
      <pane xSplit="4" ySplit="3" topLeftCell="E140" activePane="bottomRight" state="frozen"/>
      <selection pane="topRight" activeCell="E1" sqref="E1"/>
      <selection pane="bottomLeft" activeCell="A5" sqref="A5"/>
      <selection pane="bottomRight" activeCell="H165" sqref="H165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38" activePane="bottomRight" state="frozen"/>
      <selection pane="topRight" activeCell="E1" sqref="E1"/>
      <selection pane="bottomLeft" activeCell="A5" sqref="A5"/>
      <selection pane="bottomRight" activeCell="G160" sqref="G160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Y157" s="53"/>
      <c r="Z157" s="53"/>
      <c r="AA157" s="53"/>
      <c r="AB157" s="14"/>
      <c r="AC157" s="14"/>
      <c r="AD157" s="14"/>
    </row>
    <row r="158" spans="1:30" x14ac:dyDescent="0.3">
      <c r="Y158" s="53"/>
      <c r="Z158" s="53"/>
      <c r="AA158" s="53"/>
      <c r="AB158" s="14"/>
      <c r="AC158" s="14"/>
      <c r="AD158" s="14"/>
    </row>
    <row r="159" spans="1:30" x14ac:dyDescent="0.3">
      <c r="Y159" s="53"/>
      <c r="Z159" s="53"/>
      <c r="AA159" s="53"/>
      <c r="AB159" s="14"/>
      <c r="AC159" s="14"/>
      <c r="AD159" s="14"/>
    </row>
    <row r="160" spans="1:30" x14ac:dyDescent="0.3">
      <c r="Y160" s="53"/>
      <c r="Z160" s="53"/>
      <c r="AA160" s="53"/>
      <c r="AB160" s="14"/>
      <c r="AC160" s="14"/>
      <c r="AD160" s="14"/>
    </row>
    <row r="161" spans="25:30" x14ac:dyDescent="0.3">
      <c r="Y161" s="53"/>
      <c r="Z161" s="53"/>
      <c r="AA161" s="53"/>
      <c r="AB161" s="14"/>
      <c r="AC161" s="14"/>
      <c r="AD161" s="14"/>
    </row>
    <row r="162" spans="25:30" x14ac:dyDescent="0.3">
      <c r="Y162" s="53"/>
      <c r="Z162" s="53"/>
      <c r="AA162" s="53"/>
      <c r="AB162" s="14"/>
      <c r="AC162" s="14"/>
      <c r="AD162" s="14"/>
    </row>
    <row r="163" spans="25:30" x14ac:dyDescent="0.3">
      <c r="Y163" s="53"/>
      <c r="Z163" s="53"/>
      <c r="AA163" s="53"/>
      <c r="AB163" s="14"/>
      <c r="AC163" s="14"/>
      <c r="AD163" s="14"/>
    </row>
    <row r="164" spans="25:30" x14ac:dyDescent="0.3">
      <c r="Y164" s="53"/>
      <c r="Z164" s="53"/>
      <c r="AA164" s="53"/>
      <c r="AB164" s="14"/>
      <c r="AC164" s="14"/>
      <c r="AD164" s="14"/>
    </row>
    <row r="165" spans="25:30" x14ac:dyDescent="0.3">
      <c r="Y165" s="53"/>
      <c r="Z165" s="53"/>
      <c r="AA165" s="53"/>
      <c r="AB165" s="14"/>
      <c r="AC165" s="14"/>
      <c r="AD165" s="14"/>
    </row>
    <row r="166" spans="25:30" x14ac:dyDescent="0.3">
      <c r="Y166" s="53"/>
      <c r="Z166" s="53"/>
      <c r="AA166" s="53"/>
      <c r="AB166" s="14"/>
      <c r="AC166" s="14"/>
      <c r="AD166" s="14"/>
    </row>
    <row r="167" spans="25:30" x14ac:dyDescent="0.3">
      <c r="Y167" s="53"/>
      <c r="Z167" s="53"/>
      <c r="AA167" s="53"/>
      <c r="AB167" s="14"/>
      <c r="AC167" s="14"/>
      <c r="AD167" s="14"/>
    </row>
    <row r="168" spans="25:30" x14ac:dyDescent="0.3">
      <c r="Y168" s="53"/>
      <c r="Z168" s="53"/>
      <c r="AA168" s="53"/>
      <c r="AB168" s="14"/>
      <c r="AC168" s="14"/>
      <c r="AD168" s="14"/>
    </row>
    <row r="169" spans="25:30" x14ac:dyDescent="0.3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6"/>
  <sheetViews>
    <sheetView zoomScaleNormal="100" workbookViewId="0">
      <pane xSplit="4" ySplit="3" topLeftCell="E134" activePane="bottomRight" state="frozen"/>
      <selection pane="topRight" activeCell="E1" sqref="E1"/>
      <selection pane="bottomLeft" activeCell="A5" sqref="A5"/>
      <selection pane="bottomRight" activeCell="F159" sqref="F159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14569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E3701-0B03-437F-9415-48E5F50816E8}">
  <dimension ref="B2:AG66"/>
  <sheetViews>
    <sheetView topLeftCell="A46" workbookViewId="0">
      <selection activeCell="I52" sqref="I52:W52"/>
    </sheetView>
  </sheetViews>
  <sheetFormatPr defaultRowHeight="17.399999999999999" x14ac:dyDescent="0.4"/>
  <sheetData>
    <row r="2" spans="2:25" x14ac:dyDescent="0.4"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</row>
    <row r="3" spans="2:25" x14ac:dyDescent="0.4">
      <c r="B3" t="s">
        <v>438</v>
      </c>
      <c r="E3" t="s">
        <v>439</v>
      </c>
      <c r="F3">
        <v>1453.77</v>
      </c>
      <c r="G3">
        <v>19.53</v>
      </c>
      <c r="H3">
        <v>1453.77</v>
      </c>
      <c r="I3">
        <v>1504.99</v>
      </c>
      <c r="J3">
        <v>11.917</v>
      </c>
      <c r="K3">
        <v>33.549999999999997</v>
      </c>
      <c r="L3">
        <v>23.824999999999999</v>
      </c>
      <c r="M3">
        <v>23.481999999999999</v>
      </c>
      <c r="N3">
        <v>1311.14</v>
      </c>
      <c r="O3">
        <v>17.600000000000001</v>
      </c>
      <c r="P3">
        <v>17.78</v>
      </c>
      <c r="Q3">
        <v>9.17</v>
      </c>
      <c r="R3">
        <v>12.659000000000001</v>
      </c>
      <c r="S3">
        <v>15.943</v>
      </c>
      <c r="T3">
        <v>1496.84</v>
      </c>
      <c r="U3">
        <v>50.591999999999999</v>
      </c>
      <c r="V3">
        <v>34.287999999999997</v>
      </c>
      <c r="W3">
        <v>68.27</v>
      </c>
      <c r="X3">
        <v>1482.4</v>
      </c>
      <c r="Y3">
        <v>14.291</v>
      </c>
    </row>
    <row r="4" spans="2:25" x14ac:dyDescent="0.4">
      <c r="B4" t="s">
        <v>440</v>
      </c>
      <c r="E4" t="s">
        <v>439</v>
      </c>
      <c r="F4">
        <v>1504.99</v>
      </c>
      <c r="G4">
        <v>40.65</v>
      </c>
    </row>
    <row r="5" spans="2:25" x14ac:dyDescent="0.4">
      <c r="B5" t="s">
        <v>441</v>
      </c>
      <c r="C5" t="s">
        <v>442</v>
      </c>
      <c r="D5" t="s">
        <v>443</v>
      </c>
      <c r="E5" t="s">
        <v>444</v>
      </c>
      <c r="F5">
        <v>11.917</v>
      </c>
      <c r="G5">
        <v>0.40200000000000002</v>
      </c>
    </row>
    <row r="6" spans="2:25" x14ac:dyDescent="0.4">
      <c r="B6" t="s">
        <v>445</v>
      </c>
      <c r="C6" t="s">
        <v>442</v>
      </c>
      <c r="D6" t="s">
        <v>443</v>
      </c>
      <c r="E6" t="s">
        <v>444</v>
      </c>
      <c r="F6">
        <v>33.549999999999997</v>
      </c>
      <c r="G6">
        <v>0.89400000000000002</v>
      </c>
    </row>
    <row r="7" spans="2:25" x14ac:dyDescent="0.4">
      <c r="B7" t="s">
        <v>446</v>
      </c>
      <c r="C7" t="s">
        <v>442</v>
      </c>
      <c r="D7" t="s">
        <v>443</v>
      </c>
      <c r="E7" t="s">
        <v>444</v>
      </c>
      <c r="F7">
        <v>23.824999999999999</v>
      </c>
      <c r="G7">
        <v>0.317</v>
      </c>
    </row>
    <row r="8" spans="2:25" x14ac:dyDescent="0.4">
      <c r="B8" t="s">
        <v>447</v>
      </c>
      <c r="C8" t="s">
        <v>448</v>
      </c>
      <c r="D8" t="s">
        <v>443</v>
      </c>
      <c r="E8" t="s">
        <v>444</v>
      </c>
      <c r="F8">
        <v>23.481999999999999</v>
      </c>
      <c r="G8">
        <v>-0.1</v>
      </c>
    </row>
    <row r="9" spans="2:25" x14ac:dyDescent="0.4">
      <c r="B9" t="s">
        <v>449</v>
      </c>
      <c r="E9" t="s">
        <v>439</v>
      </c>
      <c r="F9">
        <v>1311.14</v>
      </c>
      <c r="G9">
        <v>-4.3</v>
      </c>
    </row>
    <row r="10" spans="2:25" x14ac:dyDescent="0.4">
      <c r="B10" t="s">
        <v>450</v>
      </c>
      <c r="C10" t="s">
        <v>451</v>
      </c>
      <c r="D10" t="s">
        <v>452</v>
      </c>
      <c r="E10" t="s">
        <v>444</v>
      </c>
      <c r="F10">
        <v>17.600000000000001</v>
      </c>
      <c r="G10">
        <v>1.7000000000000001E-2</v>
      </c>
    </row>
    <row r="11" spans="2:25" x14ac:dyDescent="0.4">
      <c r="B11" t="s">
        <v>453</v>
      </c>
      <c r="C11" t="s">
        <v>454</v>
      </c>
      <c r="D11" t="s">
        <v>452</v>
      </c>
      <c r="E11" t="s">
        <v>444</v>
      </c>
      <c r="F11">
        <v>17.78</v>
      </c>
      <c r="G11">
        <v>-0.1</v>
      </c>
    </row>
    <row r="12" spans="2:25" x14ac:dyDescent="0.4">
      <c r="B12" t="s">
        <v>455</v>
      </c>
      <c r="C12" t="s">
        <v>456</v>
      </c>
      <c r="D12" t="s">
        <v>452</v>
      </c>
      <c r="E12" t="s">
        <v>444</v>
      </c>
      <c r="F12">
        <v>9.17</v>
      </c>
      <c r="G12">
        <v>-9.2999999999999999E-2</v>
      </c>
    </row>
    <row r="13" spans="2:25" x14ac:dyDescent="0.4">
      <c r="B13" t="s">
        <v>457</v>
      </c>
      <c r="C13" t="s">
        <v>458</v>
      </c>
      <c r="D13" t="s">
        <v>452</v>
      </c>
      <c r="E13" t="s">
        <v>444</v>
      </c>
      <c r="F13">
        <v>12.659000000000001</v>
      </c>
      <c r="G13">
        <v>-1.6E-2</v>
      </c>
    </row>
    <row r="14" spans="2:25" x14ac:dyDescent="0.4">
      <c r="B14" t="s">
        <v>459</v>
      </c>
      <c r="C14" t="s">
        <v>460</v>
      </c>
      <c r="D14" t="s">
        <v>452</v>
      </c>
      <c r="E14" t="s">
        <v>444</v>
      </c>
      <c r="F14">
        <v>15.943</v>
      </c>
      <c r="G14">
        <v>-1E-3</v>
      </c>
    </row>
    <row r="15" spans="2:25" x14ac:dyDescent="0.4">
      <c r="B15" t="s">
        <v>461</v>
      </c>
      <c r="E15" t="s">
        <v>439</v>
      </c>
      <c r="F15">
        <v>1496.84</v>
      </c>
      <c r="G15">
        <v>1.39</v>
      </c>
    </row>
    <row r="16" spans="2:25" x14ac:dyDescent="0.4">
      <c r="B16" t="s">
        <v>462</v>
      </c>
      <c r="C16" t="s">
        <v>463</v>
      </c>
      <c r="D16" t="s">
        <v>464</v>
      </c>
      <c r="E16" t="s">
        <v>444</v>
      </c>
      <c r="F16">
        <v>50.591999999999999</v>
      </c>
      <c r="G16">
        <v>-6.7000000000000004E-2</v>
      </c>
    </row>
    <row r="17" spans="2:33" x14ac:dyDescent="0.4">
      <c r="B17" t="s">
        <v>465</v>
      </c>
      <c r="C17" t="s">
        <v>466</v>
      </c>
      <c r="D17" t="s">
        <v>464</v>
      </c>
      <c r="E17" t="s">
        <v>444</v>
      </c>
      <c r="F17">
        <v>34.287999999999997</v>
      </c>
      <c r="G17">
        <v>-0.04</v>
      </c>
    </row>
    <row r="18" spans="2:33" x14ac:dyDescent="0.4">
      <c r="B18" t="s">
        <v>467</v>
      </c>
      <c r="C18" t="s">
        <v>463</v>
      </c>
      <c r="D18" t="s">
        <v>464</v>
      </c>
      <c r="E18" t="s">
        <v>444</v>
      </c>
      <c r="F18">
        <v>68.27</v>
      </c>
      <c r="G18">
        <v>0.3</v>
      </c>
    </row>
    <row r="19" spans="2:33" x14ac:dyDescent="0.4">
      <c r="B19" t="s">
        <v>468</v>
      </c>
      <c r="E19" t="s">
        <v>439</v>
      </c>
      <c r="F19">
        <v>1482.4</v>
      </c>
      <c r="G19">
        <v>0</v>
      </c>
    </row>
    <row r="20" spans="2:33" x14ac:dyDescent="0.4">
      <c r="B20" t="s">
        <v>469</v>
      </c>
      <c r="C20" t="s">
        <v>458</v>
      </c>
      <c r="D20" t="s">
        <v>470</v>
      </c>
      <c r="E20" t="s">
        <v>444</v>
      </c>
      <c r="F20">
        <v>14.291</v>
      </c>
      <c r="G20">
        <v>0</v>
      </c>
    </row>
    <row r="22" spans="2:33" x14ac:dyDescent="0.4">
      <c r="B22" t="s">
        <v>471</v>
      </c>
      <c r="C22" t="s">
        <v>472</v>
      </c>
      <c r="D22" t="s">
        <v>473</v>
      </c>
      <c r="E22" t="s">
        <v>435</v>
      </c>
      <c r="F22" t="s">
        <v>436</v>
      </c>
      <c r="G22" t="s">
        <v>437</v>
      </c>
    </row>
    <row r="23" spans="2:33" x14ac:dyDescent="0.4">
      <c r="B23" t="s">
        <v>474</v>
      </c>
      <c r="E23" t="s">
        <v>439</v>
      </c>
      <c r="F23">
        <v>1641.4</v>
      </c>
      <c r="G23">
        <v>15.89</v>
      </c>
      <c r="H23">
        <v>1641.4</v>
      </c>
      <c r="I23">
        <v>1453.77</v>
      </c>
      <c r="J23">
        <v>1922.85</v>
      </c>
      <c r="K23">
        <v>1985.17</v>
      </c>
      <c r="L23">
        <v>30125</v>
      </c>
      <c r="M23">
        <v>11.917</v>
      </c>
      <c r="N23">
        <v>33.549999999999997</v>
      </c>
      <c r="O23">
        <v>23.824999999999999</v>
      </c>
      <c r="P23">
        <v>17.600000000000001</v>
      </c>
      <c r="Q23">
        <v>1881.54</v>
      </c>
      <c r="R23">
        <v>17000</v>
      </c>
      <c r="S23">
        <v>15522</v>
      </c>
      <c r="T23">
        <v>17.78</v>
      </c>
      <c r="U23">
        <v>9.17</v>
      </c>
      <c r="V23">
        <v>23.481999999999999</v>
      </c>
      <c r="W23">
        <v>50.591999999999999</v>
      </c>
      <c r="X23">
        <v>34.287999999999997</v>
      </c>
      <c r="Y23">
        <v>68.27</v>
      </c>
      <c r="Z23">
        <v>1881.06</v>
      </c>
      <c r="AA23">
        <v>13623</v>
      </c>
      <c r="AB23">
        <v>15486</v>
      </c>
      <c r="AC23">
        <v>15253</v>
      </c>
      <c r="AD23">
        <v>10970</v>
      </c>
      <c r="AE23">
        <v>12.659000000000001</v>
      </c>
      <c r="AF23">
        <v>14.291</v>
      </c>
      <c r="AG23">
        <v>15.943</v>
      </c>
    </row>
    <row r="24" spans="2:33" x14ac:dyDescent="0.4">
      <c r="B24" t="s">
        <v>475</v>
      </c>
      <c r="E24" t="s">
        <v>439</v>
      </c>
      <c r="F24">
        <v>1453.77</v>
      </c>
      <c r="G24">
        <v>19.53</v>
      </c>
    </row>
    <row r="25" spans="2:33" x14ac:dyDescent="0.4">
      <c r="B25" t="s">
        <v>476</v>
      </c>
      <c r="E25" t="s">
        <v>439</v>
      </c>
      <c r="F25">
        <v>1922.85</v>
      </c>
      <c r="G25">
        <v>10.43</v>
      </c>
    </row>
    <row r="26" spans="2:33" x14ac:dyDescent="0.4">
      <c r="B26" t="s">
        <v>477</v>
      </c>
      <c r="E26" t="s">
        <v>439</v>
      </c>
      <c r="F26">
        <v>1985.17</v>
      </c>
      <c r="G26">
        <v>44.26</v>
      </c>
    </row>
    <row r="27" spans="2:33" x14ac:dyDescent="0.4">
      <c r="B27" t="s">
        <v>478</v>
      </c>
      <c r="C27" t="s">
        <v>479</v>
      </c>
      <c r="D27" t="s">
        <v>480</v>
      </c>
      <c r="E27" t="s">
        <v>481</v>
      </c>
      <c r="F27">
        <v>30125</v>
      </c>
      <c r="G27">
        <v>672</v>
      </c>
    </row>
    <row r="28" spans="2:33" x14ac:dyDescent="0.4">
      <c r="B28" t="s">
        <v>482</v>
      </c>
      <c r="C28" t="s">
        <v>442</v>
      </c>
      <c r="D28" t="s">
        <v>443</v>
      </c>
      <c r="E28" t="s">
        <v>444</v>
      </c>
      <c r="F28">
        <v>11.917</v>
      </c>
      <c r="G28">
        <v>0.40200000000000002</v>
      </c>
    </row>
    <row r="29" spans="2:33" x14ac:dyDescent="0.4">
      <c r="B29" t="s">
        <v>483</v>
      </c>
      <c r="C29" t="s">
        <v>442</v>
      </c>
      <c r="D29" t="s">
        <v>443</v>
      </c>
      <c r="E29" t="s">
        <v>444</v>
      </c>
      <c r="F29">
        <v>33.549999999999997</v>
      </c>
      <c r="G29">
        <v>0.89400000000000002</v>
      </c>
    </row>
    <row r="30" spans="2:33" x14ac:dyDescent="0.4">
      <c r="B30" t="s">
        <v>446</v>
      </c>
      <c r="C30" t="s">
        <v>442</v>
      </c>
      <c r="D30" t="s">
        <v>443</v>
      </c>
      <c r="E30" t="s">
        <v>444</v>
      </c>
      <c r="F30">
        <v>23.824999999999999</v>
      </c>
      <c r="G30">
        <v>0.317</v>
      </c>
    </row>
    <row r="31" spans="2:33" x14ac:dyDescent="0.4">
      <c r="B31" t="s">
        <v>450</v>
      </c>
      <c r="C31" t="s">
        <v>451</v>
      </c>
      <c r="D31" t="s">
        <v>452</v>
      </c>
      <c r="E31" t="s">
        <v>444</v>
      </c>
      <c r="F31">
        <v>17.600000000000001</v>
      </c>
      <c r="G31">
        <v>1.7000000000000001E-2</v>
      </c>
    </row>
    <row r="32" spans="2:33" x14ac:dyDescent="0.4">
      <c r="B32" t="s">
        <v>484</v>
      </c>
      <c r="E32" t="s">
        <v>439</v>
      </c>
      <c r="F32">
        <v>1881.54</v>
      </c>
      <c r="G32">
        <v>-22.32</v>
      </c>
    </row>
    <row r="33" spans="2:7" x14ac:dyDescent="0.4">
      <c r="B33" t="s">
        <v>485</v>
      </c>
      <c r="C33" t="s">
        <v>486</v>
      </c>
      <c r="D33" t="s">
        <v>487</v>
      </c>
      <c r="E33" t="s">
        <v>481</v>
      </c>
      <c r="F33">
        <v>17000</v>
      </c>
      <c r="G33">
        <v>-157</v>
      </c>
    </row>
    <row r="34" spans="2:7" x14ac:dyDescent="0.4">
      <c r="B34" t="s">
        <v>488</v>
      </c>
      <c r="C34" t="s">
        <v>489</v>
      </c>
      <c r="D34" t="s">
        <v>490</v>
      </c>
      <c r="E34" t="s">
        <v>481</v>
      </c>
      <c r="F34">
        <v>15522</v>
      </c>
      <c r="G34">
        <v>-267</v>
      </c>
    </row>
    <row r="35" spans="2:7" x14ac:dyDescent="0.4">
      <c r="B35" t="s">
        <v>491</v>
      </c>
      <c r="C35" t="s">
        <v>454</v>
      </c>
      <c r="D35" t="s">
        <v>452</v>
      </c>
      <c r="E35" t="s">
        <v>444</v>
      </c>
      <c r="F35">
        <v>17.78</v>
      </c>
      <c r="G35">
        <v>-0.1</v>
      </c>
    </row>
    <row r="36" spans="2:7" x14ac:dyDescent="0.4">
      <c r="B36" t="s">
        <v>455</v>
      </c>
      <c r="C36" t="s">
        <v>456</v>
      </c>
      <c r="D36" t="s">
        <v>452</v>
      </c>
      <c r="E36" t="s">
        <v>444</v>
      </c>
      <c r="F36">
        <v>9.17</v>
      </c>
      <c r="G36">
        <v>-9.2999999999999999E-2</v>
      </c>
    </row>
    <row r="37" spans="2:7" x14ac:dyDescent="0.4">
      <c r="B37" t="s">
        <v>492</v>
      </c>
      <c r="C37" t="s">
        <v>448</v>
      </c>
      <c r="D37" t="s">
        <v>443</v>
      </c>
      <c r="E37" t="s">
        <v>444</v>
      </c>
      <c r="F37">
        <v>23.481999999999999</v>
      </c>
      <c r="G37">
        <v>-0.1</v>
      </c>
    </row>
    <row r="38" spans="2:7" x14ac:dyDescent="0.4">
      <c r="B38" t="s">
        <v>462</v>
      </c>
      <c r="C38" t="s">
        <v>463</v>
      </c>
      <c r="D38" t="s">
        <v>464</v>
      </c>
      <c r="E38" t="s">
        <v>444</v>
      </c>
      <c r="F38">
        <v>50.591999999999999</v>
      </c>
      <c r="G38">
        <v>-6.7000000000000004E-2</v>
      </c>
    </row>
    <row r="39" spans="2:7" x14ac:dyDescent="0.4">
      <c r="B39" t="s">
        <v>465</v>
      </c>
      <c r="C39" t="s">
        <v>466</v>
      </c>
      <c r="D39" t="s">
        <v>464</v>
      </c>
      <c r="E39" t="s">
        <v>444</v>
      </c>
      <c r="F39">
        <v>34.287999999999997</v>
      </c>
      <c r="G39">
        <v>-0.04</v>
      </c>
    </row>
    <row r="40" spans="2:7" x14ac:dyDescent="0.4">
      <c r="B40" t="s">
        <v>467</v>
      </c>
      <c r="C40" t="s">
        <v>463</v>
      </c>
      <c r="D40" t="s">
        <v>464</v>
      </c>
      <c r="E40" t="s">
        <v>444</v>
      </c>
      <c r="F40">
        <v>68.27</v>
      </c>
      <c r="G40">
        <v>0.3</v>
      </c>
    </row>
    <row r="41" spans="2:7" x14ac:dyDescent="0.4">
      <c r="B41" t="s">
        <v>493</v>
      </c>
      <c r="E41" t="s">
        <v>439</v>
      </c>
      <c r="F41">
        <v>1881.06</v>
      </c>
      <c r="G41">
        <v>-1.93</v>
      </c>
    </row>
    <row r="42" spans="2:7" x14ac:dyDescent="0.4">
      <c r="B42" t="s">
        <v>494</v>
      </c>
      <c r="C42" t="s">
        <v>495</v>
      </c>
      <c r="D42" t="s">
        <v>496</v>
      </c>
      <c r="E42" t="s">
        <v>481</v>
      </c>
      <c r="F42">
        <v>13623</v>
      </c>
      <c r="G42">
        <v>-50</v>
      </c>
    </row>
    <row r="43" spans="2:7" x14ac:dyDescent="0.4">
      <c r="B43" t="s">
        <v>497</v>
      </c>
      <c r="C43" t="s">
        <v>495</v>
      </c>
      <c r="D43" t="s">
        <v>496</v>
      </c>
      <c r="E43" t="s">
        <v>481</v>
      </c>
      <c r="F43">
        <v>15486</v>
      </c>
      <c r="G43">
        <v>0</v>
      </c>
    </row>
    <row r="44" spans="2:7" x14ac:dyDescent="0.4">
      <c r="B44" t="s">
        <v>498</v>
      </c>
      <c r="C44" t="s">
        <v>495</v>
      </c>
      <c r="D44" t="s">
        <v>496</v>
      </c>
      <c r="E44" t="s">
        <v>481</v>
      </c>
      <c r="F44">
        <v>15253</v>
      </c>
      <c r="G44">
        <v>3</v>
      </c>
    </row>
    <row r="45" spans="2:7" x14ac:dyDescent="0.4">
      <c r="B45" t="s">
        <v>499</v>
      </c>
      <c r="C45" t="s">
        <v>495</v>
      </c>
      <c r="D45" t="s">
        <v>496</v>
      </c>
      <c r="E45" t="s">
        <v>481</v>
      </c>
      <c r="F45">
        <v>10970</v>
      </c>
      <c r="G45">
        <v>0</v>
      </c>
    </row>
    <row r="46" spans="2:7" x14ac:dyDescent="0.4">
      <c r="B46" t="s">
        <v>457</v>
      </c>
      <c r="C46" t="s">
        <v>458</v>
      </c>
      <c r="D46" t="s">
        <v>452</v>
      </c>
      <c r="E46" t="s">
        <v>444</v>
      </c>
      <c r="F46">
        <v>12.659000000000001</v>
      </c>
      <c r="G46">
        <v>-1.6E-2</v>
      </c>
    </row>
    <row r="47" spans="2:7" x14ac:dyDescent="0.4">
      <c r="B47" t="s">
        <v>469</v>
      </c>
      <c r="C47" t="s">
        <v>458</v>
      </c>
      <c r="D47" t="s">
        <v>470</v>
      </c>
      <c r="E47" t="s">
        <v>444</v>
      </c>
      <c r="F47">
        <v>14.291</v>
      </c>
      <c r="G47">
        <v>0</v>
      </c>
    </row>
    <row r="48" spans="2:7" x14ac:dyDescent="0.4">
      <c r="B48" t="s">
        <v>500</v>
      </c>
      <c r="C48" t="s">
        <v>460</v>
      </c>
      <c r="D48" t="s">
        <v>452</v>
      </c>
      <c r="E48" t="s">
        <v>444</v>
      </c>
      <c r="F48">
        <v>15.943</v>
      </c>
      <c r="G48">
        <v>-1E-3</v>
      </c>
    </row>
    <row r="50" spans="2:23" x14ac:dyDescent="0.4">
      <c r="B50" s="68">
        <v>46226</v>
      </c>
    </row>
    <row r="51" spans="2:23" x14ac:dyDescent="0.4">
      <c r="B51" t="s">
        <v>501</v>
      </c>
      <c r="C51" t="s">
        <v>502</v>
      </c>
      <c r="D51" t="s">
        <v>503</v>
      </c>
      <c r="E51" t="s">
        <v>435</v>
      </c>
      <c r="F51" t="s">
        <v>504</v>
      </c>
      <c r="G51" t="s">
        <v>505</v>
      </c>
      <c r="H51" t="s">
        <v>437</v>
      </c>
    </row>
    <row r="52" spans="2:23" x14ac:dyDescent="0.4">
      <c r="B52" t="s">
        <v>506</v>
      </c>
      <c r="E52" t="s">
        <v>439</v>
      </c>
      <c r="F52" s="3">
        <v>1</v>
      </c>
      <c r="G52">
        <v>4193.7700000000004</v>
      </c>
      <c r="H52">
        <v>50.4</v>
      </c>
      <c r="I52">
        <v>4193.7700000000004</v>
      </c>
      <c r="J52">
        <v>5351.22</v>
      </c>
      <c r="K52">
        <v>317.44</v>
      </c>
      <c r="L52">
        <v>64.150000000000006</v>
      </c>
      <c r="M52">
        <v>300658</v>
      </c>
      <c r="N52">
        <v>292641</v>
      </c>
      <c r="O52">
        <v>2457.6</v>
      </c>
      <c r="P52">
        <v>116.39</v>
      </c>
      <c r="Q52">
        <v>46.35</v>
      </c>
      <c r="R52">
        <v>98363</v>
      </c>
      <c r="S52">
        <v>96996</v>
      </c>
      <c r="T52">
        <v>1594.79</v>
      </c>
      <c r="U52">
        <v>59.07</v>
      </c>
      <c r="V52">
        <v>78520</v>
      </c>
      <c r="W52">
        <v>76234</v>
      </c>
    </row>
    <row r="53" spans="2:23" x14ac:dyDescent="0.4">
      <c r="B53" t="s">
        <v>507</v>
      </c>
      <c r="C53" t="s">
        <v>508</v>
      </c>
      <c r="D53" t="s">
        <v>509</v>
      </c>
      <c r="E53" t="s">
        <v>439</v>
      </c>
      <c r="F53" s="3">
        <v>0.6</v>
      </c>
      <c r="G53">
        <v>5351.22</v>
      </c>
      <c r="H53">
        <v>102.87</v>
      </c>
    </row>
    <row r="54" spans="2:23" x14ac:dyDescent="0.4">
      <c r="E54" t="s">
        <v>510</v>
      </c>
      <c r="G54">
        <v>317.44</v>
      </c>
      <c r="H54">
        <v>6.1</v>
      </c>
    </row>
    <row r="55" spans="2:23" x14ac:dyDescent="0.4">
      <c r="E55" t="s">
        <v>511</v>
      </c>
      <c r="G55">
        <v>64.150000000000006</v>
      </c>
      <c r="H55">
        <v>1.23</v>
      </c>
    </row>
    <row r="56" spans="2:23" x14ac:dyDescent="0.4">
      <c r="E56" t="s">
        <v>481</v>
      </c>
      <c r="G56">
        <v>300658</v>
      </c>
      <c r="H56">
        <v>2206</v>
      </c>
    </row>
    <row r="57" spans="2:23" x14ac:dyDescent="0.4">
      <c r="E57" t="s">
        <v>481</v>
      </c>
      <c r="G57">
        <v>292641</v>
      </c>
      <c r="H57">
        <v>2318</v>
      </c>
    </row>
    <row r="58" spans="2:23" x14ac:dyDescent="0.4">
      <c r="B58" t="s">
        <v>512</v>
      </c>
      <c r="C58" t="s">
        <v>513</v>
      </c>
      <c r="D58" t="s">
        <v>509</v>
      </c>
      <c r="E58" t="s">
        <v>439</v>
      </c>
      <c r="F58" s="3">
        <v>0.4</v>
      </c>
      <c r="G58">
        <v>2457.6</v>
      </c>
      <c r="H58">
        <v>-28.3</v>
      </c>
    </row>
    <row r="59" spans="2:23" x14ac:dyDescent="0.4">
      <c r="E59" t="s">
        <v>510</v>
      </c>
      <c r="G59">
        <v>116.39</v>
      </c>
      <c r="H59">
        <v>-1.34</v>
      </c>
    </row>
    <row r="60" spans="2:23" x14ac:dyDescent="0.4">
      <c r="E60" t="s">
        <v>511</v>
      </c>
      <c r="G60">
        <v>46.35</v>
      </c>
      <c r="H60">
        <v>-0.53</v>
      </c>
    </row>
    <row r="61" spans="2:23" x14ac:dyDescent="0.4">
      <c r="E61" t="s">
        <v>481</v>
      </c>
      <c r="G61">
        <v>98363</v>
      </c>
      <c r="H61">
        <v>-6517</v>
      </c>
    </row>
    <row r="62" spans="2:23" x14ac:dyDescent="0.4">
      <c r="E62" t="s">
        <v>481</v>
      </c>
      <c r="G62">
        <v>96996</v>
      </c>
      <c r="H62">
        <v>-6094</v>
      </c>
    </row>
    <row r="63" spans="2:23" x14ac:dyDescent="0.4">
      <c r="B63" t="s">
        <v>514</v>
      </c>
      <c r="C63" t="s">
        <v>508</v>
      </c>
      <c r="D63" t="s">
        <v>509</v>
      </c>
      <c r="E63" t="s">
        <v>515</v>
      </c>
      <c r="F63" s="3">
        <v>0</v>
      </c>
      <c r="G63">
        <v>1594.79</v>
      </c>
      <c r="H63">
        <v>-9.35</v>
      </c>
    </row>
    <row r="64" spans="2:23" x14ac:dyDescent="0.4">
      <c r="E64" t="s">
        <v>511</v>
      </c>
      <c r="G64">
        <v>59.07</v>
      </c>
      <c r="H64">
        <v>-0.34</v>
      </c>
    </row>
    <row r="65" spans="5:8" x14ac:dyDescent="0.4">
      <c r="E65" t="s">
        <v>481</v>
      </c>
      <c r="G65">
        <v>78520</v>
      </c>
      <c r="H65">
        <v>-5689</v>
      </c>
    </row>
    <row r="66" spans="5:8" x14ac:dyDescent="0.4">
      <c r="E66" t="s">
        <v>481</v>
      </c>
      <c r="G66">
        <v>76234</v>
      </c>
      <c r="H66">
        <v>-4965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6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6" sqref="R36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4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H45" sqref="H45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AY6" activePane="bottomRight" state="frozen"/>
      <selection pane="topRight" activeCell="E1" sqref="E1"/>
      <selection pane="bottomLeft" activeCell="A6" sqref="A6"/>
      <selection pane="bottomRight" activeCell="BH18" sqref="BH18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6" t="s">
        <v>12</v>
      </c>
      <c r="B1" s="66" t="s">
        <v>13</v>
      </c>
      <c r="C1" s="67" t="s">
        <v>133</v>
      </c>
      <c r="D1" s="67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6"/>
      <c r="B2" s="66"/>
      <c r="C2" s="67"/>
      <c r="D2" s="67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6"/>
      <c r="B3" s="66"/>
      <c r="C3" s="67"/>
      <c r="D3" s="67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09765625" bestFit="1" customWidth="1"/>
  </cols>
  <sheetData>
    <row r="1" spans="2:10" x14ac:dyDescent="0.4">
      <c r="B1" s="68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8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5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5" sqref="N35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6" t="s">
        <v>12</v>
      </c>
      <c r="B1" s="66" t="s">
        <v>13</v>
      </c>
      <c r="C1" s="67" t="s">
        <v>133</v>
      </c>
      <c r="D1" s="67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6"/>
      <c r="B2" s="66"/>
      <c r="C2" s="67"/>
      <c r="D2" s="67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E5476" sqref="E5476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31" zoomScaleNormal="100" workbookViewId="0">
      <selection activeCell="Y47" sqref="Y4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Sheet1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2026-07-24T00:24:38Z</dcterms:modified>
</cp:coreProperties>
</file>