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4823B01C-EEFF-E546-B1EA-B8BCE1C68816}" xr6:coauthVersionLast="47" xr6:coauthVersionMax="47" xr10:uidLastSave="{00000000-0000-0000-0000-000000000000}"/>
  <bookViews>
    <workbookView xWindow="17460" yWindow="780" windowWidth="18540" windowHeight="20680" activeTab="1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4" i="1" l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<sst xmlns="http://schemas.openxmlformats.org/spreadsheetml/2006/main" count="19" uniqueCount="19">
  <si>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</si>
  <si>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</si>
  <si>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</si>
  <si>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</si>
  <si>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</si>
  <si>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source</t>
  </si>
  <si>
    <t>https://www.harperpetersen.com/container</t>
  </si>
  <si>
    <t>frequency</t>
  </si>
  <si>
    <t>weekly</t>
  </si>
  <si>
    <t>HARPEX0700</t>
    <phoneticPr fontId="6" type="noConversion"/>
  </si>
  <si>
    <t>HARPEX1100</t>
    <phoneticPr fontId="6" type="noConversion"/>
  </si>
  <si>
    <t>HARPEX1700</t>
    <phoneticPr fontId="6" type="noConversion"/>
  </si>
  <si>
    <t>HARPEX1800</t>
    <phoneticPr fontId="6" type="noConversion"/>
  </si>
  <si>
    <t>HARPEX2500</t>
    <phoneticPr fontId="6" type="noConversion"/>
  </si>
  <si>
    <t>HARPEX2700</t>
    <phoneticPr fontId="6" type="noConversion"/>
  </si>
  <si>
    <t>HARPEX3500</t>
    <phoneticPr fontId="6" type="noConversion"/>
  </si>
  <si>
    <t>HARPEX4250</t>
    <phoneticPr fontId="6" type="noConversion"/>
  </si>
  <si>
    <t>HARPEX6500</t>
    <phoneticPr fontId="6" type="noConversion"/>
  </si>
  <si>
    <t>HARPEX8500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</si>
</sst>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[$-409]h:mm:ss\ AM/PM;@"/>
  </numFmts>
  <fonts count="7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164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0" fontId="5" fillId="0" borderId="0" xfId="0" applyFont="1"/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1" applyFont="1" applyAlignment="1">
      <alignment horizontal="center"/>
    </xf>
    <xf numFmtId="164" fontId="5" fillId="0" borderId="0" xfId="3" applyFont="1" applyAlignment="1">
      <alignment horizontal="right"/>
    </xf>
    <xf numFmtId="164" fontId="1" fillId="0" borderId="0" xfId="3" applyFont="1" applyAlignment="1"/>
    <xf numFmtId="164" fontId="1" fillId="0" borderId="0" xfId="3" applyFont="1" applyAlignment="1">
      <alignment horizontal="right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  <c:pt idx="835">
                  <c:v>46227</c:v>
                </c:pt>
                <c:pt idx="836">
                  <c:v>46234</c:v>
                </c:pt>
                <c:pt idx="837">
                  <c:v>46241</c:v>
                </c:pt>
                <c:pt idx="838">
                  <c:v>46248</c:v>
                </c:pt>
                <c:pt idx="839">
                  <c:v>46255</c:v>
                </c:pt>
                <c:pt idx="840">
                  <c:v>46262</c:v>
                </c:pt>
                <c:pt idx="841">
                  <c:v>46269</c:v>
                </c:pt>
                <c:pt idx="842">
                  <c:v>46276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3">
                  <c:v>2180.56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2183.54</c:v>
                </c:pt>
                <c:pt idx="810">
                  <c:v>2183.54</c:v>
                </c:pt>
                <c:pt idx="811">
                  <c:v>2183.54</c:v>
                </c:pt>
                <c:pt idx="812">
                  <c:v>2190.9899999999998</c:v>
                </c:pt>
                <c:pt idx="813">
                  <c:v>2205.9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  <c:pt idx="835">
                  <c:v>2340.09</c:v>
                </c:pt>
                <c:pt idx="836">
                  <c:v>2343.0700000000002</c:v>
                </c:pt>
                <c:pt idx="837">
                  <c:v>2346.0500000000002</c:v>
                </c:pt>
                <c:pt idx="838">
                  <c:v>2346.0500000000002</c:v>
                </c:pt>
                <c:pt idx="839">
                  <c:v>2380.35</c:v>
                </c:pt>
                <c:pt idx="840">
                  <c:v>2413.15</c:v>
                </c:pt>
                <c:pt idx="841">
                  <c:v>2442.9699999999998</c:v>
                </c:pt>
                <c:pt idx="842">
                  <c:v>2447.44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5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44"/>
  <sheetViews>
    <sheetView zoomScaleNormal="100" workbookViewId="0">
      <pane xSplit="4" ySplit="5" topLeftCell="E757" activePane="bottomRight" state="frozen"/>
      <selection pane="topRight" activeCell="E1" sqref="E1"/>
      <selection pane="bottomLeft" activeCell="A6" sqref="A6"/>
      <selection pane="bottomRight" activeCell="F831" sqref="F831"/>
    </sheetView>
  </sheetViews>
  <sheetFormatPr baseColWidth="10" defaultColWidth="8.83203125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" style="8" bestFit="1" customWidth="1"/>
    <col min="5" max="5" width="9.83203125" style="10" bestFit="1" customWidth="1"/>
    <col min="6" max="15" width="14" style="14" bestFit="1" customWidth="1"/>
    <col min="16" max="16384" width="8.83203125" style="11"/>
  </cols>
  <sheetData>
    <row r="1" spans="1:16" s="7" customFormat="1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9</v>
      </c>
      <c r="G1" s="13" t="s">
        <v>10</v>
      </c>
      <c r="H1" s="13" t="s">
        <v>11</v>
      </c>
      <c r="I1" s="13" t="s">
        <v>12</v>
      </c>
      <c r="J1" s="13" t="s">
        <v>13</v>
      </c>
      <c r="K1" s="13" t="s">
        <v>14</v>
      </c>
      <c r="L1" s="13" t="s">
        <v>15</v>
      </c>
      <c r="M1" s="13" t="s">
        <v>16</v>
      </c>
      <c r="N1" s="13" t="s">
        <v>17</v>
      </c>
      <c r="O1" s="13" t="s">
        <v>18</v>
      </c>
      <c r="P1" s="5"/>
    </row>
    <row r="2" spans="1:16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  <c r="E805" s="10">
        <v>2180.56</v>
      </c>
    </row>
    <row r="806" spans="1:15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2183.54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2183.54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2183.54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2190.9899999999998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2205.9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  <row r="837" spans="1:15">
      <c r="A837" s="8">
        <v>46227</v>
      </c>
      <c r="B837" s="8">
        <v>46227</v>
      </c>
      <c r="C837" s="9">
        <v>0.66666666666666696</v>
      </c>
      <c r="D837" s="8" t="str">
        <f t="shared" ref="D837:D839" si="14"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10">
        <v>2340.09</v>
      </c>
      <c r="F837" s="14">
        <v>11000</v>
      </c>
      <c r="G837" s="14">
        <v>17750</v>
      </c>
      <c r="H837" s="14">
        <v>30500</v>
      </c>
      <c r="I837" s="14">
        <v>34000</v>
      </c>
      <c r="J837" s="14">
        <v>38000</v>
      </c>
      <c r="K837" s="14">
        <v>40000</v>
      </c>
      <c r="L837" s="14">
        <v>46000</v>
      </c>
      <c r="M837" s="14">
        <v>57000</v>
      </c>
      <c r="N837" s="14">
        <v>72000</v>
      </c>
      <c r="O837" s="14">
        <v>79000</v>
      </c>
    </row>
    <row r="838" spans="1:15">
      <c r="A838" s="8">
        <v>46234</v>
      </c>
      <c r="B838" s="8">
        <v>46234</v>
      </c>
      <c r="C838" s="9">
        <v>0.66666666666666996</v>
      </c>
      <c r="D838" s="8" t="str">
        <f t="shared" si="14"/>
        <v>UTC+2</v>
      </c>
      <c r="E838" s="10">
        <v>2343.0700000000002</v>
      </c>
      <c r="F838" s="14">
        <v>11000</v>
      </c>
      <c r="G838" s="14">
        <v>17750</v>
      </c>
      <c r="H838" s="14">
        <v>31000</v>
      </c>
      <c r="I838" s="14">
        <v>34500</v>
      </c>
      <c r="J838" s="14">
        <v>38000</v>
      </c>
      <c r="K838" s="14">
        <v>40000</v>
      </c>
      <c r="L838" s="14">
        <v>46000</v>
      </c>
      <c r="M838" s="14">
        <v>57000</v>
      </c>
      <c r="N838" s="14">
        <v>72000</v>
      </c>
      <c r="O838" s="14">
        <v>79000</v>
      </c>
    </row>
    <row r="839" spans="1:15">
      <c r="A839" s="8">
        <v>46241</v>
      </c>
      <c r="B839" s="8">
        <v>46241</v>
      </c>
      <c r="C839" s="9">
        <v>0.66666666666666496</v>
      </c>
      <c r="D839" s="8" t="str">
        <f t="shared" si="14"/>
        <v>UTC+2</v>
      </c>
      <c r="E839" s="10">
        <v>2346.0500000000002</v>
      </c>
      <c r="F839" s="14">
        <v>11000</v>
      </c>
      <c r="G839" s="14">
        <v>17750</v>
      </c>
      <c r="H839" s="14">
        <v>31500</v>
      </c>
      <c r="I839" s="14">
        <v>35000</v>
      </c>
      <c r="J839" s="14">
        <v>38000</v>
      </c>
      <c r="K839" s="14">
        <v>40000</v>
      </c>
      <c r="L839" s="14">
        <v>46000</v>
      </c>
      <c r="M839" s="14">
        <v>57000</v>
      </c>
      <c r="N839" s="14">
        <v>72000</v>
      </c>
      <c r="O839" s="14">
        <v>79000</v>
      </c>
    </row>
    <row r="840" spans="1:15">
      <c r="A840" s="8">
        <v>46248</v>
      </c>
      <c r="B840" s="8">
        <v>46248</v>
      </c>
      <c r="C840" s="9">
        <v>0.66666666666667596</v>
      </c>
      <c r="D840" s="8" t="str">
        <f t="shared" ref="D840:D842" si="15">"UTC+"&amp;IF(
    AND(
        B840&gt;=EOMONTH(DATE(YEAR(B840),3,1),0)-MOD(WEEKDAY(EOMONTH(DATE(YEAR(B840),3,1),0),2),7),
        B840&lt;EOMONTH(DATE(YEAR(B840),10,1),0)-MOD(WEEKDAY(EOMONTH(DATE(YEAR(B840),10,1),0),2),7)
    ),
    2,
    1
)</f>
        <v>UTC+2</v>
      </c>
      <c r="E840" s="10">
        <v>2346.0500000000002</v>
      </c>
      <c r="F840" s="14">
        <v>11000</v>
      </c>
      <c r="G840" s="14">
        <v>17750</v>
      </c>
      <c r="H840" s="14">
        <v>31500</v>
      </c>
      <c r="I840" s="14">
        <v>35000</v>
      </c>
      <c r="J840" s="14">
        <v>38000</v>
      </c>
      <c r="K840" s="14">
        <v>40000</v>
      </c>
      <c r="L840" s="14">
        <v>46000</v>
      </c>
      <c r="M840" s="14">
        <v>57000</v>
      </c>
      <c r="N840" s="14">
        <v>72000</v>
      </c>
      <c r="O840" s="14">
        <v>79000</v>
      </c>
    </row>
    <row r="841" spans="1:15">
      <c r="A841" s="8">
        <v>46255</v>
      </c>
      <c r="B841" s="8">
        <v>46255</v>
      </c>
      <c r="C841" s="9">
        <v>0.66666666666665497</v>
      </c>
      <c r="D841" s="8" t="str">
        <f t="shared" si="15"/>
        <v>UTC+2</v>
      </c>
      <c r="E841" s="10">
        <v>2380.35</v>
      </c>
      <c r="F841" s="14">
        <v>11000</v>
      </c>
      <c r="G841" s="14">
        <v>17750</v>
      </c>
      <c r="H841" s="14">
        <v>32500</v>
      </c>
      <c r="I841" s="14">
        <v>35500</v>
      </c>
      <c r="J841" s="14">
        <v>40000</v>
      </c>
      <c r="K841" s="14">
        <v>42000</v>
      </c>
      <c r="L841" s="14">
        <v>47000</v>
      </c>
      <c r="M841" s="14">
        <v>57000</v>
      </c>
      <c r="N841" s="14">
        <v>72000</v>
      </c>
      <c r="O841" s="14">
        <v>79000</v>
      </c>
    </row>
    <row r="842" spans="1:15">
      <c r="A842" s="8">
        <v>46262</v>
      </c>
      <c r="B842" s="8">
        <v>46262</v>
      </c>
      <c r="C842" s="9">
        <v>0.66666666666669805</v>
      </c>
      <c r="D842" s="8" t="str">
        <f t="shared" si="15"/>
        <v>UTC+2</v>
      </c>
      <c r="E842" s="10">
        <v>2413.15</v>
      </c>
      <c r="F842" s="14">
        <v>11000</v>
      </c>
      <c r="G842" s="14">
        <v>17750</v>
      </c>
      <c r="H842" s="14">
        <v>33000</v>
      </c>
      <c r="I842" s="14">
        <v>36000</v>
      </c>
      <c r="J842" s="14">
        <v>42000</v>
      </c>
      <c r="K842" s="14">
        <v>44000</v>
      </c>
      <c r="L842" s="14">
        <v>48000</v>
      </c>
      <c r="M842" s="14">
        <v>57000</v>
      </c>
      <c r="N842" s="14">
        <v>72000</v>
      </c>
      <c r="O842" s="14">
        <v>79000</v>
      </c>
    </row>
    <row r="843" spans="1:15">
      <c r="A843" s="8">
        <v>46269</v>
      </c>
      <c r="B843" s="8">
        <v>46269</v>
      </c>
      <c r="C843" s="9">
        <v>0.66666666666661301</v>
      </c>
      <c r="D843" s="8" t="str">
        <f t="shared" ref="D843:D844" si="16">"UTC+"&amp;IF(
    AND(
        B843&gt;=EOMONTH(DATE(YEAR(B843),3,1),0)-MOD(WEEKDAY(EOMONTH(DATE(YEAR(B843),3,1),0),2),7),
        B843&lt;EOMONTH(DATE(YEAR(B843),10,1),0)-MOD(WEEKDAY(EOMONTH(DATE(YEAR(B843),10,1),0),2),7)
    ),
    2,
    1
)</f>
        <v>UTC+2</v>
      </c>
      <c r="E843" s="10">
        <v>2442.9699999999998</v>
      </c>
      <c r="F843" s="14">
        <v>11000</v>
      </c>
      <c r="G843" s="14">
        <v>17750</v>
      </c>
      <c r="H843" s="14">
        <v>34000</v>
      </c>
      <c r="I843" s="14">
        <v>37000</v>
      </c>
      <c r="J843" s="14">
        <v>43000</v>
      </c>
      <c r="K843" s="14">
        <v>45000</v>
      </c>
      <c r="L843" s="14">
        <v>49000</v>
      </c>
      <c r="M843" s="14">
        <v>58000</v>
      </c>
      <c r="N843" s="14">
        <v>72000</v>
      </c>
      <c r="O843" s="14">
        <v>79000</v>
      </c>
    </row>
    <row r="844" spans="1:15">
      <c r="A844" s="8">
        <v>46276</v>
      </c>
      <c r="B844" s="8">
        <v>46276</v>
      </c>
      <c r="C844" s="9">
        <v>0.66666666666678398</v>
      </c>
      <c r="D844" s="8" t="str">
        <f t="shared" si="16"/>
        <v>UTC+2</v>
      </c>
      <c r="E844" s="10">
        <v>2447.44</v>
      </c>
      <c r="F844" s="14">
        <v>11000</v>
      </c>
      <c r="G844" s="14">
        <v>18000</v>
      </c>
      <c r="H844" s="14">
        <v>34500</v>
      </c>
      <c r="I844" s="14">
        <v>37500</v>
      </c>
      <c r="J844" s="14">
        <v>43000</v>
      </c>
      <c r="K844" s="14">
        <v>45000</v>
      </c>
      <c r="L844" s="14">
        <v>49000</v>
      </c>
      <c r="M844" s="14">
        <v>58000</v>
      </c>
      <c r="N844" s="14">
        <v>72000</v>
      </c>
      <c r="O844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tabSelected="1" workbookViewId="0">
      <selection activeCell="N26" sqref="N26"/>
    </sheetView>
  </sheetViews>
  <sheetFormatPr baseColWidth="10" defaultColWidth="8.83203125" defaultRowHeight="15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baseColWidth="10" defaultColWidth="8.83203125" defaultRowHeight="15"/>
  <cols>
    <col min="2" max="2" width="9.6640625" bestFit="1" customWidth="1"/>
  </cols>
  <sheetData>
    <row r="2" spans="2:3">
      <c r="B2" s="1" t="s">
        <v>5</v>
      </c>
      <c r="C2" s="2" t="s">
        <v>6</v>
      </c>
    </row>
    <row r="3" spans="2:3">
      <c r="B3" s="1" t="s">
        <v>7</v>
      </c>
      <c r="C3" t="s">
        <v>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2026-09-12T01:20:53Z</dcterms:modified>
</cp:coreProperties>
</file>