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6A504099-85D3-42FE-96EC-A0B0CE5200DB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6" i="1" l="1"/>
  <c r="D905" i="1"/>
  <c r="D904" i="1"/>
  <c r="D903" i="1"/>
  <c r="D902" i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<sst xmlns="http://schemas.openxmlformats.org/spreadsheetml/2006/main" count="11" uniqueCount="11">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</sst>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6"/>
  <sheetViews>
    <sheetView tabSelected="1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K907" sqref="K907"/>
    </sheetView>
  </sheetViews>
  <sheetFormatPr defaultColWidth="9.109375" defaultRowHeight="14.4" x14ac:dyDescent="0.35"/>
  <cols>
    <col min="1" max="1" width="10.109375" style="8" bestFit="1" customWidth="1"/>
    <col min="2" max="2" width="11.33203125" style="8" bestFit="1" customWidth="1"/>
    <col min="3" max="3" width="11.88671875" style="21" bestFit="1" customWidth="1"/>
    <col min="4" max="4" width="10.77734375" style="8" bestFit="1" customWidth="1"/>
    <col min="5" max="5" width="10.109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x14ac:dyDescent="0.35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x14ac:dyDescent="0.35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x14ac:dyDescent="0.35">
      <c r="A901" s="8">
        <v>46207</v>
      </c>
      <c r="B901" s="8">
        <v>46211</v>
      </c>
      <c r="C901" s="21">
        <v>0.50138888888888888</v>
      </c>
      <c r="D901" s="7" t="str">
        <f t="shared" ref="D901:D903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 x14ac:dyDescent="0.35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  <row r="903" spans="1:5" x14ac:dyDescent="0.35">
      <c r="A903" s="8">
        <v>46221</v>
      </c>
      <c r="B903" s="8">
        <v>46225</v>
      </c>
      <c r="C903" s="21">
        <v>0.50347222222222221</v>
      </c>
      <c r="D903" s="7" t="str">
        <f t="shared" si="19"/>
        <v>UTC-4</v>
      </c>
      <c r="E903" s="20">
        <v>523900</v>
      </c>
    </row>
    <row r="904" spans="1:5" x14ac:dyDescent="0.35">
      <c r="A904" s="8">
        <v>46228</v>
      </c>
      <c r="B904" s="8">
        <v>46232</v>
      </c>
      <c r="C904" s="21">
        <v>0.52013888888888893</v>
      </c>
      <c r="D904" s="7" t="str">
        <f t="shared" ref="D904:D905" si="20">IF(
 AND(
  A904 &gt;= IF(
         YEAR(A904)&gt;=2007,
         DATE(YEAR(A904),3,14)-WEEKDAY(DATE(YEAR(A904),3,14),1)+1 + TIME(2,0,0),
         DATE(YEAR(A904),4,7)-WEEKDAY(DATE(YEAR(A904),4,7),1)+1 + TIME(2,0,0)
       ),
  A904 &lt;  IF(
         YEAR(A904)&gt;=2007,
         DATE(YEAR(A904),11,7)-WEEKDAY(DATE(YEAR(A904),11,7),1)+1 + TIME(2,0,0),
         DATE(YEAR(A904),10,31)-WEEKDAY(DATE(YEAR(A904),10,31),1) + TIME(2,0,0)
       )
 ),
 "UTC-4",
 "UTC-5"
)</f>
        <v>UTC-4</v>
      </c>
      <c r="E904" s="20">
        <v>527162</v>
      </c>
    </row>
    <row r="905" spans="1:5" x14ac:dyDescent="0.35">
      <c r="A905" s="8">
        <v>46235</v>
      </c>
      <c r="B905" s="8">
        <v>46239</v>
      </c>
      <c r="C905" s="21">
        <v>0.50347222222222221</v>
      </c>
      <c r="D905" s="7" t="str">
        <f t="shared" si="20"/>
        <v>UTC-4</v>
      </c>
      <c r="E905" s="20">
        <v>526410</v>
      </c>
    </row>
    <row r="906" spans="1:5" x14ac:dyDescent="0.35">
      <c r="A906" s="8">
        <v>46242</v>
      </c>
      <c r="B906" s="8">
        <v>46246</v>
      </c>
      <c r="C906" s="21">
        <v>0.5</v>
      </c>
      <c r="D906" s="7" t="str">
        <f t="shared" ref="D906" si="21">IF(
 AND(
  A906 &gt;= IF(
         YEAR(A906)&gt;=2007,
         DATE(YEAR(A906),3,14)-WEEKDAY(DATE(YEAR(A906),3,14),1)+1 + TIME(2,0,0),
         DATE(YEAR(A906),4,7)-WEEKDAY(DATE(YEAR(A906),4,7),1)+1 + TIME(2,0,0)
       ),
  A906 &lt;  IF(
         YEAR(A906)&gt;=2007,
         DATE(YEAR(A906),11,7)-WEEKDAY(DATE(YEAR(A906),11,7),1)+1 + TIME(2,0,0),
         DATE(YEAR(A906),10,31)-WEEKDAY(DATE(YEAR(A906),10,31),1) + TIME(2,0,0)
       )
 ),
 "UTC-4",
 "UTC-5"
)</f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26" sqref="G26"/>
    </sheetView>
  </sheetViews>
  <sheetFormatPr defaultColWidth="8.77734375"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777343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2026-08-12T04:58:56Z</dcterms:modified>
</cp:coreProperties>
</file>