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_lake\freight\"/>
    </mc:Choice>
  </mc:AlternateContent>
  <xr:revisionPtr revIDLastSave="0" documentId="13_ncr:1_{A98CAEB5-3AC0-4422-82BC-43021C4D79E2}" xr6:coauthVersionLast="47" xr6:coauthVersionMax="47" xr10:uidLastSave="{00000000-0000-0000-0000-000000000000}"/>
  <bookViews>
    <workbookView xWindow="11430" yWindow="0" windowWidth="11700" windowHeight="14730" activeTab="1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02" i="1" l="1"/>
  <c r="D901" i="1"/>
  <c r="D900" i="1"/>
  <c r="D2" i="1"/>
  <c r="D899" i="1"/>
  <c r="D898" i="1"/>
  <c r="D897" i="1"/>
  <c r="D896" i="1"/>
  <c r="D895" i="1"/>
  <c r="D894" i="1"/>
  <c r="D893" i="1"/>
  <c r="D892" i="1"/>
  <c r="D891" i="1"/>
  <c r="D884" i="1"/>
  <c r="D885" i="1"/>
  <c r="D886" i="1"/>
  <c r="D887" i="1"/>
  <c r="D888" i="1"/>
  <c r="D889" i="1"/>
  <c r="D890" i="1"/>
  <c r="D883" i="1" l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<sst xmlns="http://schemas.openxmlformats.org/spreadsheetml/2006/main" count="11" uniqueCount="11">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</sst>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_(* #,##0_);_(* \(#,##0\);_(* &quot;-&quot;??_);_(@_)"/>
    <numFmt numFmtId="166" formatCode="[$-409]h:mm:ss\ AM/PM;@"/>
  </numFmts>
  <fonts count="8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rgb="FF1A1A1A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64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64" fontId="7" fillId="0" borderId="0" xfId="0" applyNumberFormat="1" applyFont="1" applyAlignment="1">
      <alignment horizontal="center" vertical="top" wrapText="1"/>
    </xf>
    <xf numFmtId="164" fontId="6" fillId="0" borderId="0" xfId="0" applyNumberFormat="1" applyFont="1" applyAlignment="1">
      <alignment horizontal="center" vertical="center"/>
    </xf>
    <xf numFmtId="166" fontId="7" fillId="0" borderId="0" xfId="0" applyNumberFormat="1" applyFont="1" applyAlignment="1">
      <alignment horizontal="center" vertical="top" wrapText="1"/>
    </xf>
    <xf numFmtId="165" fontId="7" fillId="0" borderId="0" xfId="1" applyNumberFormat="1" applyFont="1" applyBorder="1" applyAlignment="1">
      <alignment horizontal="center" vertical="top" wrapText="1"/>
    </xf>
    <xf numFmtId="164" fontId="7" fillId="0" borderId="1" xfId="0" applyNumberFormat="1" applyFont="1" applyBorder="1" applyAlignment="1">
      <alignment horizontal="center" vertical="top" wrapText="1"/>
    </xf>
    <xf numFmtId="165" fontId="7" fillId="0" borderId="1" xfId="1" applyNumberFormat="1" applyFont="1" applyBorder="1" applyAlignment="1">
      <alignment horizontal="center" vertical="top" wrapText="1"/>
    </xf>
    <xf numFmtId="164" fontId="7" fillId="0" borderId="2" xfId="0" applyNumberFormat="1" applyFont="1" applyBorder="1" applyAlignment="1">
      <alignment horizontal="center" vertical="top" wrapText="1"/>
    </xf>
    <xf numFmtId="165" fontId="7" fillId="0" borderId="2" xfId="1" applyNumberFormat="1" applyFont="1" applyBorder="1" applyAlignment="1">
      <alignment horizontal="center" vertical="top" wrapText="1"/>
    </xf>
    <xf numFmtId="164" fontId="6" fillId="0" borderId="2" xfId="0" applyNumberFormat="1" applyFont="1" applyBorder="1" applyAlignment="1">
      <alignment horizontal="center" vertical="center"/>
    </xf>
    <xf numFmtId="165" fontId="6" fillId="0" borderId="2" xfId="1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5" fontId="6" fillId="0" borderId="1" xfId="1" applyNumberFormat="1" applyFont="1" applyBorder="1" applyAlignment="1">
      <alignment horizontal="center" vertical="center"/>
    </xf>
    <xf numFmtId="166" fontId="6" fillId="0" borderId="2" xfId="0" applyNumberFormat="1" applyFont="1" applyBorder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USRT!$E$1</c:f>
              <c:strCache>
                <c:ptCount val="1"/>
                <c:pt idx="0">
                  <c:v> USRT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USRT!$B$2:$B$894</c:f>
              <c:numCache>
                <c:formatCode>yyyy\-mm\-dd;@</c:formatCode>
                <c:ptCount val="893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  <c:pt idx="884">
                  <c:v>46106</c:v>
                </c:pt>
                <c:pt idx="885">
                  <c:v>46113</c:v>
                </c:pt>
                <c:pt idx="886">
                  <c:v>46120</c:v>
                </c:pt>
                <c:pt idx="887">
                  <c:v>46127</c:v>
                </c:pt>
                <c:pt idx="888">
                  <c:v>46134</c:v>
                </c:pt>
                <c:pt idx="889">
                  <c:v>46141</c:v>
                </c:pt>
                <c:pt idx="890">
                  <c:v>46148</c:v>
                </c:pt>
                <c:pt idx="891">
                  <c:v>46155</c:v>
                </c:pt>
                <c:pt idx="892">
                  <c:v>46162</c:v>
                </c:pt>
              </c:numCache>
            </c:numRef>
          </c:cat>
          <c:val>
            <c:numRef>
              <c:f>USRT!$E$2:$E$894</c:f>
              <c:numCache>
                <c:formatCode>_(* #,##0_);_(* \(#,##0\);_(* "-"??_);_(@_)</c:formatCode>
                <c:ptCount val="893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  <c:pt idx="884">
                  <c:v>502252</c:v>
                </c:pt>
                <c:pt idx="885">
                  <c:v>515921</c:v>
                </c:pt>
                <c:pt idx="886">
                  <c:v>501328</c:v>
                </c:pt>
                <c:pt idx="887">
                  <c:v>500040</c:v>
                </c:pt>
                <c:pt idx="888">
                  <c:v>508303</c:v>
                </c:pt>
                <c:pt idx="889">
                  <c:v>511616</c:v>
                </c:pt>
                <c:pt idx="890">
                  <c:v>518773</c:v>
                </c:pt>
                <c:pt idx="891">
                  <c:v>513755</c:v>
                </c:pt>
                <c:pt idx="892">
                  <c:v>511216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C31-4DD5-B01F-36685A417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7289439"/>
        <c:axId val="1507269279"/>
      </c:lineChart>
      <c:dateAx>
        <c:axId val="15072894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69279"/>
        <c:crosses val="autoZero"/>
        <c:auto val="1"/>
        <c:lblOffset val="100"/>
        <c:baseTimeUnit val="days"/>
        <c:majorUnit val="1"/>
        <c:majorTimeUnit val="years"/>
      </c:dateAx>
      <c:valAx>
        <c:axId val="1507269279"/>
        <c:scaling>
          <c:orientation val="minMax"/>
          <c:min val="3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8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1904</xdr:rowOff>
    </xdr:from>
    <xdr:to>
      <xdr:col>10</xdr:col>
      <xdr:colOff>15240</xdr:colOff>
      <xdr:row>18</xdr:row>
      <xdr:rowOff>190499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68310C7-20E0-4D73-9C72-53AA4A8B9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902"/>
  <sheetViews>
    <sheetView workbookViewId="0">
      <pane xSplit="6" ySplit="3" topLeftCell="G888" activePane="bottomRight" state="frozen"/>
      <selection pane="topRight" activeCell="D1" sqref="D1"/>
      <selection pane="bottomLeft" activeCell="A4" sqref="A4"/>
      <selection pane="bottomRight" activeCell="C903" sqref="C903"/>
    </sheetView>
  </sheetViews>
  <sheetFormatPr defaultColWidth="9.08984375" defaultRowHeight="14.5"/>
  <cols>
    <col min="1" max="1" width="12.453125" style="8" bestFit="1" customWidth="1"/>
    <col min="2" max="2" width="15.08984375" style="8" bestFit="1" customWidth="1"/>
    <col min="3" max="3" width="13.54296875" style="21" bestFit="1" customWidth="1"/>
    <col min="4" max="4" width="12.6328125" style="8" bestFit="1" customWidth="1"/>
    <col min="5" max="5" width="10.08984375" style="20" bestFit="1" customWidth="1"/>
    <col min="6" max="16384" width="9.08984375" style="6"/>
  </cols>
  <sheetData>
    <row r="1" spans="1: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>
      <c r="A2" s="7">
        <v>39823</v>
      </c>
      <c r="B2" s="8">
        <v>39827</v>
      </c>
      <c r="C2" s="9">
        <v>0.5</v>
      </c>
      <c r="D2" s="7" t="str">
        <f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>
      <c r="A3" s="7">
        <v>39830</v>
      </c>
      <c r="B3" s="8">
        <v>39834</v>
      </c>
      <c r="C3" s="9">
        <v>0.5</v>
      </c>
      <c r="D3" s="7" t="str">
        <f t="shared" ref="D3:D65" si="0">IF(
 AND(
  A3 &gt;= IF(
         YEAR(A3)&gt;=2007,
         DATE(YEAR(A3),3,14)-WEEKDAY(DATE(YEAR(A3),3,14),1)+1 + TIME(2,0,0),
         DATE(YEAR(A3),4,7)-WEEKDAY(DATE(YEAR(A3),4,7),1)+1 + TIME(2,0,0)
       ),
  A3 &lt;  IF(
         YEAR(A3)&gt;=2007,
         DATE(YEAR(A3),11,7)-WEEKDAY(DATE(YEAR(A3),11,7),1)+1 + TIME(2,0,0),
         DATE(YEAR(A3),10,31)-WEEKDAY(DATE(YEAR(A3),10,31),1) + TIME(2,0,0)
       )
 ),
 "UTC-4",
 "UTC-5"
)</f>
        <v>UTC-5</v>
      </c>
      <c r="E3" s="10">
        <v>465386</v>
      </c>
    </row>
    <row r="4" spans="1:5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5" thickBot="1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5" thickBot="1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5" thickBot="1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5" thickBot="1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5" thickBot="1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5" thickBot="1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5" thickBot="1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5" thickBot="1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5" thickBot="1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5" thickBot="1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5" thickBot="1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5" thickBot="1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5" thickBot="1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5" thickBot="1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5" thickBot="1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5" thickBot="1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5" thickBot="1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5" thickBot="1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5" thickBot="1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5" thickBot="1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5" thickBot="1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5" thickBot="1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5" thickBot="1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5" thickBot="1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5" thickBot="1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5" thickBot="1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5" thickBot="1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5" thickBot="1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5" thickBot="1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5" thickBot="1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5" thickBot="1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5" thickBot="1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5" thickBot="1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5" thickBot="1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5" thickBot="1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5" thickBot="1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5" thickBot="1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5" thickBot="1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5" thickBot="1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5" thickBot="1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5" thickBot="1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5" thickBot="1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5" thickBot="1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5" thickBot="1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5" thickBot="1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5" thickBot="1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5" thickBot="1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5" thickBot="1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5" thickBot="1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5" thickBot="1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5" thickBot="1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5" thickBot="1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5" thickBot="1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5" thickBot="1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5" thickBot="1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5" thickBot="1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5" thickBot="1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5" thickBot="1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5" thickBot="1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5" thickBot="1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5" thickBot="1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5" thickBot="1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5" thickBot="1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5" thickBot="1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5" thickBot="1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5" thickBot="1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5" thickBot="1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5" thickBot="1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5" thickBot="1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5" thickBot="1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5" thickBot="1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5" thickBot="1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5" thickBot="1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5" thickBot="1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5" thickBot="1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5" thickBot="1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5" thickBot="1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5" thickBot="1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5" thickBot="1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5" thickBot="1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5" thickBot="1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5" thickBot="1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5" thickBot="1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5" thickBot="1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5" thickBot="1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5" thickBot="1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5" thickBot="1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5" thickBot="1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5" thickBot="1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5" thickBot="1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5" thickBot="1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5" thickBot="1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5" thickBot="1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5" thickBot="1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5" thickBot="1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5" thickBot="1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5" thickBot="1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5" thickBot="1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5" thickBot="1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5" thickBot="1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5" thickBot="1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5" thickBot="1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5" thickBot="1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5" thickBot="1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5" thickBot="1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5" thickBot="1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5" thickBot="1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5" thickBot="1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5" thickBot="1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5" thickBot="1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5" thickBot="1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5" thickBot="1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5" thickBot="1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5" thickBot="1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5" thickBot="1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5" thickBot="1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5" thickBot="1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5" thickBot="1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5" thickBot="1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5" thickBot="1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5" thickBot="1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5" thickBot="1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5" thickBot="1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5" thickBot="1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5" thickBot="1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5" thickBot="1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5" thickBot="1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5" thickBot="1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5" thickBot="1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5" thickBot="1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5" thickBot="1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5" thickBot="1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5" thickBot="1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5" thickBot="1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5" thickBot="1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5" thickBot="1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5" thickBot="1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5" thickBot="1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5" thickBot="1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5" thickBot="1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5" thickBot="1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5" thickBot="1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5" thickBot="1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5" thickBot="1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5" thickBot="1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5" thickBot="1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5" thickBot="1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5" thickBot="1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5" thickBot="1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5" thickBot="1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5" thickBot="1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5" thickBot="1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5" thickBot="1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5" thickBot="1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5" thickBot="1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5" thickBot="1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5" thickBot="1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5" thickBot="1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5" thickBot="1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5" thickBot="1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5" thickBot="1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5" thickBot="1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5" thickBot="1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5" thickBot="1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5" thickBot="1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5" thickBot="1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5" thickBot="1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5" thickBot="1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5" thickBot="1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5" thickBot="1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5" thickBot="1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5" thickBot="1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5" thickBot="1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5" thickBot="1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5" thickBot="1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5" thickBot="1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5" thickBot="1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5" thickBot="1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5" thickBot="1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5" thickBot="1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5" thickBot="1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5" thickBot="1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5" thickBot="1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5" thickBot="1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5" thickBot="1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5" thickBot="1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5" thickBot="1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5" thickBot="1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5" thickBot="1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5" thickBot="1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5" thickBot="1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5" thickBot="1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5" thickBot="1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5" thickBot="1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5" thickBot="1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5" thickBot="1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5" thickBot="1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5" thickBot="1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5" thickBot="1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5" thickBot="1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5" thickBot="1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5" thickBot="1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5" thickBot="1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5" thickBot="1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5" thickBot="1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5" thickBot="1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5" thickBot="1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5" thickBot="1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5" thickBot="1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5" thickBot="1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5" thickBot="1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5" thickBot="1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5" thickBot="1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5" thickBot="1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5" thickBot="1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5" thickBot="1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5" thickBot="1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5" thickBot="1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5" thickBot="1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5" thickBot="1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5" thickBot="1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5" thickBot="1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5" thickBot="1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5" thickBot="1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5" thickBot="1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5" thickBot="1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5" thickBot="1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5" thickBot="1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5" thickBot="1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5" thickBot="1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5" thickBot="1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5" thickBot="1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5" thickBot="1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5" thickBot="1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5" thickBot="1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5" thickBot="1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5" thickBot="1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5" thickBot="1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5" thickBot="1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5" thickBot="1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5" thickBot="1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5" thickBot="1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5" thickBot="1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5" thickBot="1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5" thickBot="1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5" thickBot="1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5" thickBot="1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5" thickBot="1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5" thickBot="1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5" thickBot="1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5" thickBot="1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5" thickBot="1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5" thickBot="1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5" thickBot="1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5" thickBot="1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5" thickBot="1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5" thickBot="1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5" thickBot="1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5" thickBot="1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5" thickBot="1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5" thickBot="1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5" thickBot="1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5" thickBot="1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5" thickBot="1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5" thickBot="1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5" thickBot="1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5" thickBot="1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5" thickBot="1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5" thickBot="1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5" thickBot="1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5" thickBot="1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5" thickBot="1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5" thickBot="1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5" thickBot="1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5" thickBot="1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5" thickBot="1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5" thickBot="1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5" thickBot="1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5" thickBot="1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5" thickBot="1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5" thickBot="1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5" thickBot="1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5" thickBot="1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5" thickBot="1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5" thickBot="1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5" thickBot="1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5" thickBot="1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5" thickBot="1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5" thickBot="1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5" thickBot="1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5" thickBot="1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5" thickBot="1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5" thickBot="1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5" thickBot="1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5" thickBot="1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5" thickBot="1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5" thickBot="1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5" thickBot="1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5" thickBot="1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5" thickBot="1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5" thickBot="1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5" thickBot="1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5" thickBot="1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5" thickBot="1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5" thickBot="1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5" thickBot="1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5" thickBot="1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5" thickBot="1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5" thickBot="1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5" thickBot="1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5" thickBot="1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5" thickBot="1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5" thickBot="1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5" thickBot="1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5" thickBot="1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5" thickBot="1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5" thickBot="1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5" thickBot="1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5" thickBot="1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5" thickBot="1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5" thickBot="1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5" thickBot="1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5" thickBot="1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5" thickBot="1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5" thickBot="1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5" thickBot="1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5" thickBot="1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5" thickBot="1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5" thickBot="1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5" thickBot="1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5" thickBot="1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5" thickBot="1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5" thickBot="1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5" thickBot="1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5" thickBot="1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5" thickBot="1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5" thickBot="1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5" thickBot="1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5" thickBot="1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5" thickBot="1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5" thickBot="1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5" thickBot="1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5" thickBot="1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5" thickBot="1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5" thickBot="1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5" thickBot="1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5" thickBot="1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5" thickBot="1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5" thickBot="1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5" thickBot="1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5" thickBot="1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5" thickBot="1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5" thickBot="1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5" thickBot="1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5" thickBot="1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5" thickBot="1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5" thickBot="1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5" thickBot="1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5" thickBot="1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5" thickBot="1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5" thickBot="1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5" thickBot="1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5" thickBot="1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5" thickBot="1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5" thickBot="1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5" thickBot="1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5" thickBot="1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5" thickBot="1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5" thickBot="1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5" thickBot="1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5" thickBot="1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5" thickBot="1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5" thickBot="1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5" thickBot="1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5" thickBot="1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5" thickBot="1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5" thickBot="1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5" thickBot="1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5" thickBot="1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5" thickBot="1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5" thickBot="1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5" thickBot="1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5" thickBot="1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5" thickBot="1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5" thickBot="1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5" thickBot="1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5" thickBot="1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5" thickBot="1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5" thickBot="1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5" thickBot="1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5" thickBot="1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5" thickBot="1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5" thickBot="1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5" thickBot="1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5" thickBot="1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5" thickBot="1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5" thickBot="1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5" thickBot="1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5" thickBot="1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5" thickBot="1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5" thickBot="1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5" thickBot="1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5" thickBot="1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5" thickBot="1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5" thickBot="1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5" thickBot="1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5" thickBot="1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5" thickBot="1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5" thickBot="1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5" thickBot="1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5" thickBot="1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5" thickBot="1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5" thickBot="1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5" thickBot="1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5" thickBot="1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5" thickBot="1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5" thickBot="1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5" thickBot="1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5" thickBot="1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5" thickBot="1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5" thickBot="1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5" thickBot="1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5" thickBot="1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5" thickBot="1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5" thickBot="1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5" thickBot="1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5" thickBot="1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5" thickBot="1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5" thickBot="1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5" thickBot="1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5" thickBot="1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5" thickBot="1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5" thickBot="1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5" thickBot="1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5" thickBot="1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5" thickBot="1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5" thickBot="1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5" thickBot="1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5" thickBot="1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5" thickBot="1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5" thickBot="1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5" thickBot="1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5" thickBot="1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5" thickBot="1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5" thickBot="1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5" thickBot="1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5" thickBot="1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5" thickBot="1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5" thickBot="1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5" thickBot="1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5" thickBot="1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5" thickBot="1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5" thickBot="1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5" thickBot="1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5" thickBot="1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5" thickBot="1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5" thickBot="1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5" thickBot="1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5" thickBot="1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5" thickBot="1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5" thickBot="1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5" thickBot="1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5" thickBot="1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5" thickBot="1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5" thickBot="1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5" thickBot="1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5" thickBot="1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5" thickBot="1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5" thickBot="1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5" thickBot="1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5" thickBot="1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5" thickBot="1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5" thickBot="1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5" thickBot="1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5" thickBot="1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5" thickBot="1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5" thickBot="1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5" thickBot="1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5" thickBot="1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5" thickBot="1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5" thickBot="1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5" thickBot="1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5" thickBot="1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5" thickBot="1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5" thickBot="1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5" thickBot="1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5" thickBot="1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5" thickBot="1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5" thickBot="1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5" thickBot="1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5" thickBot="1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5" thickBot="1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5" thickBot="1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5" thickBot="1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5" thickBot="1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5" thickBot="1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5" thickBot="1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5" thickBot="1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5" thickBot="1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5" thickBot="1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5" thickBot="1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5" thickBot="1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5" thickBot="1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5" thickBot="1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5" thickBot="1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5" thickBot="1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5" thickBot="1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5" thickBot="1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5" thickBot="1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5" thickBot="1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5" thickBot="1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5" thickBot="1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5" thickBot="1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5" thickBot="1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5" thickBot="1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5" thickBot="1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5" thickBot="1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5" thickBot="1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5" thickBot="1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5" thickBot="1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5" thickBot="1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5" thickBot="1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5" thickBot="1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5" thickBot="1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5" thickBot="1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5" thickBot="1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5" thickBot="1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5" thickBot="1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5" thickBot="1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5" thickBot="1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5" thickBot="1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5" thickBot="1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5" thickBot="1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5" thickBot="1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5" thickBot="1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5" thickBot="1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5" thickBot="1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5" thickBot="1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5" thickBot="1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5" thickBot="1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5" thickBot="1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5" thickBot="1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5" thickBot="1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5" thickBot="1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5" thickBot="1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5" thickBot="1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5" thickBot="1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5" thickBot="1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5" thickBot="1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5" thickBot="1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5" thickBot="1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5" thickBot="1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5" thickBot="1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5" thickBot="1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5" thickBot="1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5" thickBot="1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5" thickBot="1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5" thickBot="1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5" thickBot="1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5" thickBot="1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5" thickBot="1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5" thickBot="1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5" thickBot="1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5" thickBot="1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5" thickBot="1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5" thickBot="1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5" thickBot="1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5" thickBot="1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5" thickBot="1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5" thickBot="1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5" thickBot="1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5" thickBot="1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5" thickBot="1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5" thickBot="1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5" thickBot="1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5" thickBot="1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5" thickBot="1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5" thickBot="1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5" thickBot="1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5" thickBot="1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5" thickBot="1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5" thickBot="1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5" thickBot="1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5" thickBot="1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5" thickBot="1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5" thickBot="1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5" thickBot="1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5" thickBot="1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5" thickBot="1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5" thickBot="1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5" thickBot="1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5" thickBot="1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5" thickBot="1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5" thickBot="1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5" thickBot="1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5" thickBot="1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5" thickBot="1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5" thickBot="1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5" thickBot="1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5" thickBot="1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5" thickBot="1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5" thickBot="1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5" thickBot="1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5" thickBot="1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5" thickBot="1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5" thickBot="1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5" thickBot="1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5" thickBot="1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5" thickBot="1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5" thickBot="1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5" thickBot="1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5" thickBot="1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5" thickBot="1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5" thickBot="1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5" thickBot="1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5" thickBot="1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5" thickBot="1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5" thickBot="1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5" thickBot="1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5" thickBot="1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5" thickBot="1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5" thickBot="1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5" thickBot="1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5" thickBot="1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5" thickBot="1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5" thickBot="1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5" thickBot="1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5" thickBot="1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5" thickBot="1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5" thickBot="1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5" thickBot="1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5" thickBot="1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5" thickBot="1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5" thickBot="1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5" thickBot="1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5" thickBot="1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5" thickBot="1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5" thickBot="1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5" thickBot="1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5" thickBot="1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5" thickBot="1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5" thickBot="1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5" thickBot="1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5" thickBot="1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5" thickBot="1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5" thickBot="1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5" thickBot="1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5" thickBot="1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5" thickBot="1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5" thickBot="1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5" thickBot="1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5" thickBot="1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5" thickBot="1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5" thickBot="1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5" thickBot="1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5" thickBot="1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5" thickBot="1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5" thickBot="1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5" thickBot="1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5" thickBot="1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5" thickBot="1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5" thickBot="1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5" thickBot="1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5" thickBot="1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5" thickBot="1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5" thickBot="1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5" thickBot="1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5" thickBot="1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5" thickBot="1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5" thickBot="1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5" thickBot="1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5" thickBot="1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5" thickBot="1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5" thickBot="1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5" thickBot="1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5" thickBot="1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5" thickBot="1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5" thickBot="1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5" thickBot="1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5" thickBot="1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5" thickBot="1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5" thickBot="1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5" thickBot="1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5" thickBot="1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5" thickBot="1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5" thickBot="1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5" thickBot="1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5" thickBot="1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5" thickBot="1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5" thickBot="1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5" thickBot="1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5" thickBot="1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5" thickBot="1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5" thickBot="1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5" thickBot="1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5" thickBot="1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5" thickBot="1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5" thickBot="1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5" thickBot="1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5" thickBot="1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5" thickBot="1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5" thickBot="1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5" thickBot="1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5" thickBot="1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5" thickBot="1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5" thickBot="1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5" thickBot="1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5" thickBot="1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5" thickBot="1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5" thickBot="1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5" thickBot="1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5" thickBot="1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5" thickBot="1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5" thickBot="1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5" thickBot="1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5" thickBot="1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5" thickBot="1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5" thickBot="1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5" thickBot="1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5" thickBot="1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5" thickBot="1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5" thickBot="1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5" thickBot="1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5" thickBot="1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5" thickBot="1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5" thickBot="1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5" thickBot="1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5" thickBot="1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5" thickBot="1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5" thickBot="1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5" thickBot="1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5" thickBot="1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5" thickBot="1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5" thickBot="1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5" thickBot="1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5" thickBot="1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5" thickBot="1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5" thickBot="1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5" thickBot="1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5" thickBot="1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5" thickBot="1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5" thickBot="1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5" thickBot="1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5" thickBot="1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5" thickBot="1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5" thickBot="1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5" thickBot="1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5" thickBot="1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5" thickBot="1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5" thickBot="1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5" thickBot="1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5" thickBot="1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5" thickBot="1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5" thickBot="1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5" thickBot="1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5" thickBot="1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5" thickBot="1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5" thickBot="1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5" thickBot="1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5" thickBot="1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5" thickBot="1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5" thickBot="1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5" thickBot="1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5" thickBot="1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5" thickBot="1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5" thickBot="1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5" thickBot="1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5" thickBot="1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5" thickBot="1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5" thickBot="1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5" thickBot="1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5" thickBot="1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5" thickBot="1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5" thickBot="1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5" thickBot="1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5" thickBot="1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5" thickBot="1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5" thickBot="1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5" thickBot="1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5" thickBot="1">
      <c r="A880" s="15">
        <v>46053</v>
      </c>
      <c r="B880" s="8">
        <v>46057</v>
      </c>
      <c r="C880" s="21">
        <v>0.50277777777777777</v>
      </c>
      <c r="D880" s="7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20">
        <v>434361</v>
      </c>
    </row>
    <row r="881" spans="1:5" ht="15" thickBot="1">
      <c r="A881" s="15">
        <v>46060</v>
      </c>
      <c r="B881" s="8">
        <v>46064</v>
      </c>
      <c r="C881" s="21">
        <v>0.50138888888888888</v>
      </c>
      <c r="D881" s="7" t="str">
        <f t="shared" si="14"/>
        <v>UTC-5</v>
      </c>
      <c r="E881" s="20">
        <v>486854</v>
      </c>
    </row>
    <row r="882" spans="1:5" ht="15" thickBot="1">
      <c r="A882" s="8">
        <v>46067</v>
      </c>
      <c r="B882" s="8">
        <v>46071</v>
      </c>
      <c r="C882" s="21">
        <v>0.50208333333333333</v>
      </c>
      <c r="D882" s="7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20">
        <v>510399</v>
      </c>
    </row>
    <row r="883" spans="1:5" ht="15" thickBot="1">
      <c r="A883" s="15">
        <v>46074</v>
      </c>
      <c r="B883" s="8">
        <v>46079</v>
      </c>
      <c r="C883" s="21">
        <v>3.472222222222222E-3</v>
      </c>
      <c r="D883" s="7" t="str">
        <f t="shared" ref="D883:D892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20">
        <v>507712</v>
      </c>
    </row>
    <row r="884" spans="1:5" ht="15" thickBot="1">
      <c r="A884" s="8">
        <v>46081</v>
      </c>
      <c r="B884" s="8">
        <v>46085</v>
      </c>
      <c r="C884" s="21">
        <v>0.50208333333333333</v>
      </c>
      <c r="D884" s="7" t="str">
        <f t="shared" si="15"/>
        <v>UTC-5</v>
      </c>
      <c r="E884" s="20">
        <v>516729</v>
      </c>
    </row>
    <row r="885" spans="1:5" ht="15" thickBot="1">
      <c r="A885" s="15">
        <v>46088</v>
      </c>
      <c r="B885" s="8">
        <v>46092</v>
      </c>
      <c r="C885" s="21">
        <v>0.51388888888888895</v>
      </c>
      <c r="D885" s="7" t="str">
        <f t="shared" si="15"/>
        <v>UTC-5</v>
      </c>
      <c r="E885" s="20">
        <v>514996</v>
      </c>
    </row>
    <row r="886" spans="1:5">
      <c r="A886" s="8">
        <v>46102</v>
      </c>
      <c r="B886" s="8">
        <v>46106</v>
      </c>
      <c r="C886" s="21">
        <v>0.50069444444444444</v>
      </c>
      <c r="D886" s="7" t="str">
        <f t="shared" si="15"/>
        <v>UTC-4</v>
      </c>
      <c r="E886" s="20">
        <v>502252</v>
      </c>
    </row>
    <row r="887" spans="1:5">
      <c r="A887" s="8">
        <v>46109</v>
      </c>
      <c r="B887" s="8">
        <v>46113</v>
      </c>
      <c r="C887" s="21">
        <v>0.50069444444444444</v>
      </c>
      <c r="D887" s="7" t="str">
        <f t="shared" si="15"/>
        <v>UTC-4</v>
      </c>
      <c r="E887" s="20">
        <v>515921</v>
      </c>
    </row>
    <row r="888" spans="1:5">
      <c r="A888" s="8">
        <v>46116</v>
      </c>
      <c r="B888" s="8">
        <v>46120</v>
      </c>
      <c r="C888" s="21">
        <v>0.500694444444444</v>
      </c>
      <c r="D888" s="7" t="str">
        <f t="shared" si="15"/>
        <v>UTC-4</v>
      </c>
      <c r="E888" s="20">
        <v>501328</v>
      </c>
    </row>
    <row r="889" spans="1:5">
      <c r="A889" s="8">
        <v>46123</v>
      </c>
      <c r="B889" s="8">
        <v>46127</v>
      </c>
      <c r="C889" s="21">
        <v>0.500694444444444</v>
      </c>
      <c r="D889" s="7" t="str">
        <f t="shared" si="15"/>
        <v>UTC-4</v>
      </c>
      <c r="E889" s="20">
        <v>500040</v>
      </c>
    </row>
    <row r="890" spans="1:5">
      <c r="A890" s="8">
        <v>46130</v>
      </c>
      <c r="B890" s="8">
        <v>46134</v>
      </c>
      <c r="C890" s="21">
        <v>0.50208333333333333</v>
      </c>
      <c r="D890" s="7" t="str">
        <f t="shared" si="15"/>
        <v>UTC-4</v>
      </c>
      <c r="E890" s="20">
        <v>508303</v>
      </c>
    </row>
    <row r="891" spans="1:5">
      <c r="A891" s="8">
        <v>46137</v>
      </c>
      <c r="B891" s="8">
        <v>46141</v>
      </c>
      <c r="C891" s="21">
        <v>0.52222222222222225</v>
      </c>
      <c r="D891" s="7" t="str">
        <f t="shared" si="15"/>
        <v>UTC-4</v>
      </c>
      <c r="E891" s="20">
        <v>511616</v>
      </c>
    </row>
    <row r="892" spans="1:5">
      <c r="A892" s="8">
        <v>46144</v>
      </c>
      <c r="B892" s="8">
        <v>46148</v>
      </c>
      <c r="C892" s="21">
        <v>0.51388888888888884</v>
      </c>
      <c r="D892" s="7" t="str">
        <f t="shared" si="15"/>
        <v>UTC-4</v>
      </c>
      <c r="E892" s="20">
        <v>518773</v>
      </c>
    </row>
    <row r="893" spans="1:5">
      <c r="A893" s="8">
        <v>46151</v>
      </c>
      <c r="B893" s="8">
        <v>46155</v>
      </c>
      <c r="C893" s="21">
        <v>0.50069444444444444</v>
      </c>
      <c r="D893" s="7" t="str">
        <f t="shared" ref="D893:D895" si="16">IF(
 AND(
  A893 &gt;= IF(
         YEAR(A893)&gt;=2007,
         DATE(YEAR(A893),3,14)-WEEKDAY(DATE(YEAR(A893),3,14),1)+1 + TIME(2,0,0),
         DATE(YEAR(A893),4,7)-WEEKDAY(DATE(YEAR(A893),4,7),1)+1 + TIME(2,0,0)
       ),
  A893 &lt;  IF(
         YEAR(A893)&gt;=2007,
         DATE(YEAR(A893),11,7)-WEEKDAY(DATE(YEAR(A893),11,7),1)+1 + TIME(2,0,0),
         DATE(YEAR(A893),10,31)-WEEKDAY(DATE(YEAR(A893),10,31),1) + TIME(2,0,0)
       )
 ),
 "UTC-4",
 "UTC-5"
)</f>
        <v>UTC-4</v>
      </c>
      <c r="E893" s="20">
        <v>513755</v>
      </c>
    </row>
    <row r="894" spans="1:5">
      <c r="A894" s="8">
        <v>46158</v>
      </c>
      <c r="B894" s="8">
        <v>46162</v>
      </c>
      <c r="C894" s="21">
        <v>0.50347222222222221</v>
      </c>
      <c r="D894" s="7" t="str">
        <f t="shared" si="16"/>
        <v>UTC-4</v>
      </c>
      <c r="E894" s="20">
        <v>511216</v>
      </c>
    </row>
    <row r="895" spans="1:5">
      <c r="A895" s="8">
        <v>46165</v>
      </c>
      <c r="B895" s="8">
        <v>46169</v>
      </c>
      <c r="C895" s="21">
        <v>0.51388888888888884</v>
      </c>
      <c r="D895" s="7" t="str">
        <f t="shared" si="16"/>
        <v>UTC-4</v>
      </c>
      <c r="E895" s="20">
        <v>523574</v>
      </c>
    </row>
    <row r="896" spans="1:5">
      <c r="A896" s="8">
        <v>46172</v>
      </c>
      <c r="B896" s="8">
        <v>46176</v>
      </c>
      <c r="C896" s="21">
        <v>0.5</v>
      </c>
      <c r="D896" s="7" t="str">
        <f t="shared" ref="D896:D898" si="17">IF(
 AND(
  A896 &gt;= IF(
         YEAR(A896)&gt;=2007,
         DATE(YEAR(A896),3,14)-WEEKDAY(DATE(YEAR(A896),3,14),1)+1 + TIME(2,0,0),
         DATE(YEAR(A896),4,7)-WEEKDAY(DATE(YEAR(A896),4,7),1)+1 + TIME(2,0,0)
       ),
  A896 &lt;  IF(
         YEAR(A896)&gt;=2007,
         DATE(YEAR(A896),11,7)-WEEKDAY(DATE(YEAR(A896),11,7),1)+1 + TIME(2,0,0),
         DATE(YEAR(A896),10,31)-WEEKDAY(DATE(YEAR(A896),10,31),1) + TIME(2,0,0)
       )
 ),
 "UTC-4",
 "UTC-5"
)</f>
        <v>UTC-4</v>
      </c>
      <c r="E896" s="20">
        <v>492795</v>
      </c>
    </row>
    <row r="897" spans="1:5">
      <c r="A897" s="8">
        <v>46179</v>
      </c>
      <c r="B897" s="8">
        <v>46183</v>
      </c>
      <c r="C897" s="21">
        <v>0.50069444444444444</v>
      </c>
      <c r="D897" s="7" t="str">
        <f t="shared" si="17"/>
        <v>UTC-4</v>
      </c>
      <c r="E897" s="20">
        <v>521804</v>
      </c>
    </row>
    <row r="898" spans="1:5">
      <c r="A898" s="8">
        <v>46186</v>
      </c>
      <c r="B898" s="8">
        <v>46190</v>
      </c>
      <c r="C898" s="21">
        <v>0.68680555555555556</v>
      </c>
      <c r="D898" s="7" t="str">
        <f t="shared" si="17"/>
        <v>UTC-4</v>
      </c>
      <c r="E898" s="20">
        <v>520406</v>
      </c>
    </row>
    <row r="899" spans="1:5">
      <c r="A899" s="8">
        <v>46193</v>
      </c>
      <c r="B899" s="8">
        <v>46197</v>
      </c>
      <c r="C899" s="21">
        <v>0.50138888888888888</v>
      </c>
      <c r="D899" s="7" t="str">
        <f t="shared" ref="D899:D900" si="18">IF(
 AND(
  A899 &gt;= IF(
         YEAR(A899)&gt;=2007,
         DATE(YEAR(A899),3,14)-WEEKDAY(DATE(YEAR(A899),3,14),1)+1 + TIME(2,0,0),
         DATE(YEAR(A899),4,7)-WEEKDAY(DATE(YEAR(A899),4,7),1)+1 + TIME(2,0,0)
       ),
  A899 &lt;  IF(
         YEAR(A899)&gt;=2007,
         DATE(YEAR(A899),11,7)-WEEKDAY(DATE(YEAR(A899),11,7),1)+1 + TIME(2,0,0),
         DATE(YEAR(A899),10,31)-WEEKDAY(DATE(YEAR(A899),10,31),1) + TIME(2,0,0)
       )
 ),
 "UTC-4",
 "UTC-5"
)</f>
        <v>UTC-4</v>
      </c>
      <c r="E899" s="20">
        <v>521998</v>
      </c>
    </row>
    <row r="900" spans="1:5">
      <c r="A900" s="8">
        <v>46200</v>
      </c>
      <c r="B900" s="8">
        <v>46204</v>
      </c>
      <c r="C900" s="21">
        <v>0.50069444444444444</v>
      </c>
      <c r="D900" s="7" t="str">
        <f t="shared" si="18"/>
        <v>UTC-4</v>
      </c>
      <c r="E900" s="20">
        <v>525474</v>
      </c>
    </row>
    <row r="901" spans="1:5">
      <c r="A901" s="8">
        <v>46207</v>
      </c>
      <c r="B901" s="8">
        <v>46211</v>
      </c>
      <c r="C901" s="21">
        <v>0.50138888888888888</v>
      </c>
      <c r="D901" s="7" t="str">
        <f t="shared" ref="D901:D902" si="19">IF(
 AND(
  A901 &gt;= IF(
         YEAR(A901)&gt;=2007,
         DATE(YEAR(A901),3,14)-WEEKDAY(DATE(YEAR(A901),3,14),1)+1 + TIME(2,0,0),
         DATE(YEAR(A901),4,7)-WEEKDAY(DATE(YEAR(A901),4,7),1)+1 + TIME(2,0,0)
       ),
  A901 &lt;  IF(
         YEAR(A901)&gt;=2007,
         DATE(YEAR(A901),11,7)-WEEKDAY(DATE(YEAR(A901),11,7),1)+1 + TIME(2,0,0),
         DATE(YEAR(A901),10,31)-WEEKDAY(DATE(YEAR(A901),10,31),1) + TIME(2,0,0)
       )
 ),
 "UTC-4",
 "UTC-5"
)</f>
        <v>UTC-4</v>
      </c>
      <c r="E901" s="20">
        <v>482121</v>
      </c>
    </row>
    <row r="902" spans="1:5">
      <c r="A902" s="8">
        <v>46214</v>
      </c>
      <c r="B902" s="8">
        <v>46218</v>
      </c>
      <c r="C902" s="21">
        <v>0.50069444444444444</v>
      </c>
      <c r="D902" s="7" t="str">
        <f t="shared" si="19"/>
        <v>UTC-4</v>
      </c>
      <c r="E902" s="20">
        <v>503525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tabSelected="1" workbookViewId="0">
      <selection activeCell="G26" sqref="G26"/>
    </sheetView>
  </sheetViews>
  <sheetFormatPr defaultColWidth="8.81640625" defaultRowHeight="16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ColWidth="8.81640625" defaultRowHeight="16"/>
  <cols>
    <col min="2" max="2" width="10.08984375" bestFit="1" customWidth="1"/>
  </cols>
  <sheetData>
    <row r="2" spans="2:3">
      <c r="B2" s="1" t="s">
        <v>4</v>
      </c>
      <c r="C2" s="2" t="s">
        <v>10</v>
      </c>
    </row>
    <row r="3" spans="2:3">
      <c r="B3" s="1" t="s">
        <v>5</v>
      </c>
      <c r="C3" t="s">
        <v>9</v>
      </c>
    </row>
    <row r="4" spans="2:3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이정훈</cp:lastModifiedBy>
  <dcterms:created xsi:type="dcterms:W3CDTF">2026-01-05T10:37:48Z</dcterms:created>
  <dcterms:modified xsi:type="dcterms:W3CDTF">2026-07-17T06:11:22Z</dcterms:modified>
</cp:coreProperties>
</file>